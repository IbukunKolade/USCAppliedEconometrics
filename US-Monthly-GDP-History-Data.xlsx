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Commentary" sheetId="2" r:id="rId5"/>
    <sheet state="visible" name="Data" sheetId="3" r:id="rId6"/>
  </sheets>
  <definedNames>
    <definedName localSheetId="1" name="_dlx2">Commentary!#REF!</definedName>
    <definedName name="Summ_Table_GD">#REF!</definedName>
    <definedName name="Applications">#REF!</definedName>
    <definedName name="Summ_Table">#REF!</definedName>
    <definedName name="Limit">#REF!</definedName>
    <definedName name="AllApps">#REF!</definedName>
    <definedName name="_dlx2">#REF!</definedName>
    <definedName name="Summ_Table_Header">#REF!</definedName>
  </definedNames>
  <calcPr/>
  <extLst>
    <ext uri="GoogleSheetsCustomDataVersion2">
      <go:sheetsCustomData xmlns:go="http://customooxmlschemas.google.com/" r:id="rId7" roundtripDataChecksum="oaZkDtRhjXthSvtrEo0ReMrxQqhtQocdVcWt66gRcLk="/>
    </ext>
  </extLst>
</workbook>
</file>

<file path=xl/sharedStrings.xml><?xml version="1.0" encoding="utf-8"?>
<sst xmlns="http://schemas.openxmlformats.org/spreadsheetml/2006/main" count="411" uniqueCount="410">
  <si>
    <t>S&amp;P Global Market Intelligence's Monthly GDP Index</t>
  </si>
  <si>
    <t>Monthly GDP Index Commentary</t>
  </si>
  <si>
    <t>Data</t>
  </si>
  <si>
    <t xml:space="preserve"> </t>
  </si>
  <si>
    <t>Monthly GDP Index</t>
  </si>
  <si>
    <t>Monthly GDP (SAAR)</t>
  </si>
  <si>
    <t xml:space="preserve">   % change</t>
  </si>
  <si>
    <t xml:space="preserve">   % change, ann. rate</t>
  </si>
  <si>
    <t xml:space="preserve"> Contributions to annualized % change</t>
  </si>
  <si>
    <t>Monthly GDP Index: September 2024</t>
  </si>
  <si>
    <t xml:space="preserve"> Monthly GDP</t>
  </si>
  <si>
    <t xml:space="preserve">   Final Sales</t>
  </si>
  <si>
    <t xml:space="preserve">      Domestic</t>
  </si>
  <si>
    <t xml:space="preserve">         PCE</t>
  </si>
  <si>
    <t xml:space="preserve">         Nonres Fixed Inv</t>
  </si>
  <si>
    <t xml:space="preserve">         Res Fixed Inv</t>
  </si>
  <si>
    <t xml:space="preserve">         Covered Gov C&amp;GI</t>
  </si>
  <si>
    <t xml:space="preserve">         Not Covered</t>
  </si>
  <si>
    <t xml:space="preserve">      Net Exports</t>
  </si>
  <si>
    <t xml:space="preserve">   Nonfarm CIPI</t>
  </si>
  <si>
    <t>Monthly Nominal GDP Index</t>
  </si>
  <si>
    <t>Monthly Real GDP Index</t>
  </si>
  <si>
    <t>1992 - Jan</t>
  </si>
  <si>
    <t>1992 - Feb</t>
  </si>
  <si>
    <t>1992 - Mar</t>
  </si>
  <si>
    <t>1992 - Apr</t>
  </si>
  <si>
    <t>1992 - May</t>
  </si>
  <si>
    <t>1992 - Jun</t>
  </si>
  <si>
    <t>1992 - Jul</t>
  </si>
  <si>
    <t>1992 - Aug</t>
  </si>
  <si>
    <t>1992 - Sep</t>
  </si>
  <si>
    <t>1992 - Oct</t>
  </si>
  <si>
    <t>1992 - Nov</t>
  </si>
  <si>
    <t>1992 - Dec</t>
  </si>
  <si>
    <t>1993 - Jan</t>
  </si>
  <si>
    <t>1993 - Feb</t>
  </si>
  <si>
    <t>1993 - Mar</t>
  </si>
  <si>
    <t>1993 - Apr</t>
  </si>
  <si>
    <t>1993 - May</t>
  </si>
  <si>
    <t>1993 - Jun</t>
  </si>
  <si>
    <t>1993 - Jul</t>
  </si>
  <si>
    <t>1993 - Aug</t>
  </si>
  <si>
    <t>1993 - Sep</t>
  </si>
  <si>
    <t>1993 - Oct</t>
  </si>
  <si>
    <t>1993 - Nov</t>
  </si>
  <si>
    <t>1993 - Dec</t>
  </si>
  <si>
    <t>1994 - Jan</t>
  </si>
  <si>
    <t>1994 - Feb</t>
  </si>
  <si>
    <t>1994 - Mar</t>
  </si>
  <si>
    <t>1994 - Apr</t>
  </si>
  <si>
    <t>1994 - May</t>
  </si>
  <si>
    <t>1994 - Jun</t>
  </si>
  <si>
    <t>1994 - Jul</t>
  </si>
  <si>
    <t>1994 - Aug</t>
  </si>
  <si>
    <t>1994 - Sep</t>
  </si>
  <si>
    <t>1994 - Oct</t>
  </si>
  <si>
    <t>1994 - Nov</t>
  </si>
  <si>
    <t>1994 - Dec</t>
  </si>
  <si>
    <t>1995 - Jan</t>
  </si>
  <si>
    <t>1995 - Feb</t>
  </si>
  <si>
    <t>1995 - Mar</t>
  </si>
  <si>
    <t>1995 - Apr</t>
  </si>
  <si>
    <t>1995 - May</t>
  </si>
  <si>
    <t>1995 - Jun</t>
  </si>
  <si>
    <t>1995 - Jul</t>
  </si>
  <si>
    <t>1995 - Aug</t>
  </si>
  <si>
    <t>1995 - Sep</t>
  </si>
  <si>
    <t>1995 - Oct</t>
  </si>
  <si>
    <t>1995 - Nov</t>
  </si>
  <si>
    <t>1995 - Dec</t>
  </si>
  <si>
    <t>1996 - Jan</t>
  </si>
  <si>
    <t>1996 - Feb</t>
  </si>
  <si>
    <t>1996 - Mar</t>
  </si>
  <si>
    <t>1996 - Apr</t>
  </si>
  <si>
    <t>1996 - May</t>
  </si>
  <si>
    <t>1996 - Jun</t>
  </si>
  <si>
    <t>1996 - Jul</t>
  </si>
  <si>
    <t>1996 - Aug</t>
  </si>
  <si>
    <t>1996 - Sep</t>
  </si>
  <si>
    <t>1996 - Oct</t>
  </si>
  <si>
    <t>1996 - Nov</t>
  </si>
  <si>
    <t>1996 - Dec</t>
  </si>
  <si>
    <t>1997 - Jan</t>
  </si>
  <si>
    <t>1997 - Feb</t>
  </si>
  <si>
    <t>1997 - Mar</t>
  </si>
  <si>
    <t>1997 - Apr</t>
  </si>
  <si>
    <t>1997 - May</t>
  </si>
  <si>
    <t>1997 - Jun</t>
  </si>
  <si>
    <t>1997 - Jul</t>
  </si>
  <si>
    <t>1997 - Aug</t>
  </si>
  <si>
    <t>1997 - Sep</t>
  </si>
  <si>
    <t>1997 - Oct</t>
  </si>
  <si>
    <t>1997 - Nov</t>
  </si>
  <si>
    <t>1997 - Dec</t>
  </si>
  <si>
    <t>1998 - Jan</t>
  </si>
  <si>
    <t>1998 - Feb</t>
  </si>
  <si>
    <t>1998 - Mar</t>
  </si>
  <si>
    <t>1998 - Apr</t>
  </si>
  <si>
    <t>1998 - May</t>
  </si>
  <si>
    <t>1998 - Jun</t>
  </si>
  <si>
    <t>1998 - Jul</t>
  </si>
  <si>
    <t>1998 - Aug</t>
  </si>
  <si>
    <t>1998 - Sep</t>
  </si>
  <si>
    <t>1998 - Oct</t>
  </si>
  <si>
    <t>1998 - Nov</t>
  </si>
  <si>
    <t>1998 - Dec</t>
  </si>
  <si>
    <t>1999 - Jan</t>
  </si>
  <si>
    <t>1999 - Feb</t>
  </si>
  <si>
    <t>1999 - Mar</t>
  </si>
  <si>
    <t>1999 - Apr</t>
  </si>
  <si>
    <t>1999 - May</t>
  </si>
  <si>
    <t>1999 - Jun</t>
  </si>
  <si>
    <t>1999 - Jul</t>
  </si>
  <si>
    <t>1999 - Aug</t>
  </si>
  <si>
    <t>1999 - Sep</t>
  </si>
  <si>
    <t>1999 - Oct</t>
  </si>
  <si>
    <t>1999 - Nov</t>
  </si>
  <si>
    <t>1999 - Dec</t>
  </si>
  <si>
    <t>2000 - Jan</t>
  </si>
  <si>
    <t>2000 - Feb</t>
  </si>
  <si>
    <t>2000 - Mar</t>
  </si>
  <si>
    <t>2000 - Apr</t>
  </si>
  <si>
    <t>2000 - May</t>
  </si>
  <si>
    <t>2000 - Jun</t>
  </si>
  <si>
    <t>2000 - Jul</t>
  </si>
  <si>
    <t>2000 - Aug</t>
  </si>
  <si>
    <t>2000 - Sep</t>
  </si>
  <si>
    <t>2000 - Oct</t>
  </si>
  <si>
    <t>2000 - Nov</t>
  </si>
  <si>
    <t>2000 - Dec</t>
  </si>
  <si>
    <t>2001 - Jan</t>
  </si>
  <si>
    <t>2001 - Feb</t>
  </si>
  <si>
    <t>2001 - Mar</t>
  </si>
  <si>
    <t>2001 - Apr</t>
  </si>
  <si>
    <t>2001 - May</t>
  </si>
  <si>
    <t>2001 - Jun</t>
  </si>
  <si>
    <t>2001 - Jul</t>
  </si>
  <si>
    <t>2001 - Aug</t>
  </si>
  <si>
    <t>2001 - Sep</t>
  </si>
  <si>
    <t>2001 - Oct</t>
  </si>
  <si>
    <t>2001 - Nov</t>
  </si>
  <si>
    <t>2001 - Dec</t>
  </si>
  <si>
    <t>2002 - Jan</t>
  </si>
  <si>
    <t>2002 - Feb</t>
  </si>
  <si>
    <t>2002 - Mar</t>
  </si>
  <si>
    <t>2002 - Apr</t>
  </si>
  <si>
    <t>2002 - May</t>
  </si>
  <si>
    <t>2002 - Jun</t>
  </si>
  <si>
    <t>2002 - Jul</t>
  </si>
  <si>
    <t>2002 - Aug</t>
  </si>
  <si>
    <t>2002 - Sep</t>
  </si>
  <si>
    <t>2002 - Oct</t>
  </si>
  <si>
    <t>2002 - Nov</t>
  </si>
  <si>
    <t>2002 - Dec</t>
  </si>
  <si>
    <t>2003 - Jan</t>
  </si>
  <si>
    <t>2003 - Feb</t>
  </si>
  <si>
    <t>2003 - Mar</t>
  </si>
  <si>
    <t>2003 - Apr</t>
  </si>
  <si>
    <t>2003 - May</t>
  </si>
  <si>
    <t>2003 - Jun</t>
  </si>
  <si>
    <t>2003 - Jul</t>
  </si>
  <si>
    <t>2003 - Aug</t>
  </si>
  <si>
    <t>2003 - Sep</t>
  </si>
  <si>
    <t>2003 - Oct</t>
  </si>
  <si>
    <t>2003 - Nov</t>
  </si>
  <si>
    <t>2003 - Dec</t>
  </si>
  <si>
    <t>2004 - Jan</t>
  </si>
  <si>
    <t>2004 - Feb</t>
  </si>
  <si>
    <t>2004 - Mar</t>
  </si>
  <si>
    <t>2004 - Apr</t>
  </si>
  <si>
    <t>2004 - May</t>
  </si>
  <si>
    <t>2004 - Jun</t>
  </si>
  <si>
    <t>2004 - Jul</t>
  </si>
  <si>
    <t>2004 - Aug</t>
  </si>
  <si>
    <t>2004 - Sep</t>
  </si>
  <si>
    <t>2004 - Oct</t>
  </si>
  <si>
    <t>2004 - Nov</t>
  </si>
  <si>
    <t>2004 - Dec</t>
  </si>
  <si>
    <t>2005 - Jan</t>
  </si>
  <si>
    <t>2005 - Feb</t>
  </si>
  <si>
    <t>2005 - Mar</t>
  </si>
  <si>
    <t>2005 - Apr</t>
  </si>
  <si>
    <t>2005 - May</t>
  </si>
  <si>
    <t>2005 - Jun</t>
  </si>
  <si>
    <t>2005 - Jul</t>
  </si>
  <si>
    <t>2005 - Aug</t>
  </si>
  <si>
    <t>2005 - Sep</t>
  </si>
  <si>
    <t>2005 - Oct</t>
  </si>
  <si>
    <t>2005 - Nov</t>
  </si>
  <si>
    <t>2005 - Dec</t>
  </si>
  <si>
    <t>2006 - Jan</t>
  </si>
  <si>
    <t>2006 - Feb</t>
  </si>
  <si>
    <t>2006 - Mar</t>
  </si>
  <si>
    <t>2006 - Apr</t>
  </si>
  <si>
    <t>2006 - May</t>
  </si>
  <si>
    <t>2006 - Jun</t>
  </si>
  <si>
    <t>2006 - Jul</t>
  </si>
  <si>
    <t>2006 - Aug</t>
  </si>
  <si>
    <t>2006 - Sep</t>
  </si>
  <si>
    <t>2006 - Oct</t>
  </si>
  <si>
    <t>2006 - Nov</t>
  </si>
  <si>
    <t>2006 - Dec</t>
  </si>
  <si>
    <t>2007 - Jan</t>
  </si>
  <si>
    <t>2007 - Feb</t>
  </si>
  <si>
    <t>2007 - Mar</t>
  </si>
  <si>
    <t>2007 - Apr</t>
  </si>
  <si>
    <t>2007 - May</t>
  </si>
  <si>
    <t>2007 - Jun</t>
  </si>
  <si>
    <t>2007 - Jul</t>
  </si>
  <si>
    <t>2007 - Aug</t>
  </si>
  <si>
    <t>2007 - Sep</t>
  </si>
  <si>
    <t>2007 - Oct</t>
  </si>
  <si>
    <t>2007 - Nov</t>
  </si>
  <si>
    <t>2007 - Dec</t>
  </si>
  <si>
    <t>2008 - Jan</t>
  </si>
  <si>
    <t>2008 - Feb</t>
  </si>
  <si>
    <t>2008 - Mar</t>
  </si>
  <si>
    <t>2008 - Apr</t>
  </si>
  <si>
    <t>2008 - May</t>
  </si>
  <si>
    <t>2008 - Jun</t>
  </si>
  <si>
    <t>2008 - Jul</t>
  </si>
  <si>
    <t>2008 - Aug</t>
  </si>
  <si>
    <t>2008 - Sep</t>
  </si>
  <si>
    <t>2008 - Oct</t>
  </si>
  <si>
    <t>2008 - Nov</t>
  </si>
  <si>
    <t>2008 - Dec</t>
  </si>
  <si>
    <t>2009 - Jan</t>
  </si>
  <si>
    <t>2009 - Feb</t>
  </si>
  <si>
    <t>2009 - Mar</t>
  </si>
  <si>
    <t>2009 - Apr</t>
  </si>
  <si>
    <t>2009 - May</t>
  </si>
  <si>
    <t>2009 - Jun</t>
  </si>
  <si>
    <t>2009 - Jul</t>
  </si>
  <si>
    <t>2009 - Aug</t>
  </si>
  <si>
    <t>2009 - Sep</t>
  </si>
  <si>
    <t>2009 - Oct</t>
  </si>
  <si>
    <t>2009 - Nov</t>
  </si>
  <si>
    <t>2009 - Dec</t>
  </si>
  <si>
    <t>2010 - Jan</t>
  </si>
  <si>
    <t>2010 - Feb</t>
  </si>
  <si>
    <t>2010 - Mar</t>
  </si>
  <si>
    <t>2010 - Apr</t>
  </si>
  <si>
    <t>2010 - May</t>
  </si>
  <si>
    <t>2010 - Jun</t>
  </si>
  <si>
    <t>2010 - Jul</t>
  </si>
  <si>
    <t>2010 - Aug</t>
  </si>
  <si>
    <t>2010 - Sep</t>
  </si>
  <si>
    <t>2010 - Oct</t>
  </si>
  <si>
    <t>2010 - Nov</t>
  </si>
  <si>
    <t>2010 - Dec</t>
  </si>
  <si>
    <t>2011 - Jan</t>
  </si>
  <si>
    <t>2011 - Feb</t>
  </si>
  <si>
    <t>2011 - Mar</t>
  </si>
  <si>
    <t>2011 - Apr</t>
  </si>
  <si>
    <t>2011 - May</t>
  </si>
  <si>
    <t>2011 - Jun</t>
  </si>
  <si>
    <t>2011 - Jul</t>
  </si>
  <si>
    <t>2011 - Aug</t>
  </si>
  <si>
    <t>2011 - Sep</t>
  </si>
  <si>
    <t>2011 - Oct</t>
  </si>
  <si>
    <t>2011 - Nov</t>
  </si>
  <si>
    <t>2011 - Dec</t>
  </si>
  <si>
    <t>2012 - Jan</t>
  </si>
  <si>
    <t>2012 - Feb</t>
  </si>
  <si>
    <t>2012 - Mar</t>
  </si>
  <si>
    <t>2012 - Apr</t>
  </si>
  <si>
    <t>2012 - May</t>
  </si>
  <si>
    <t>2012 - Jun</t>
  </si>
  <si>
    <t>2012 - Jul</t>
  </si>
  <si>
    <t>2012 - Aug</t>
  </si>
  <si>
    <t>2012 - Sep</t>
  </si>
  <si>
    <t>2012 - Oct</t>
  </si>
  <si>
    <t>2012 - Nov</t>
  </si>
  <si>
    <t>2012 - Dec</t>
  </si>
  <si>
    <t>2013 - Jan</t>
  </si>
  <si>
    <t>2013 - Feb</t>
  </si>
  <si>
    <t>2013 - Mar</t>
  </si>
  <si>
    <t>2013 - Apr</t>
  </si>
  <si>
    <t>2013 - May</t>
  </si>
  <si>
    <t>2013 - Jun</t>
  </si>
  <si>
    <t>2013 - Jul</t>
  </si>
  <si>
    <t>2013 - Aug</t>
  </si>
  <si>
    <t>2013 - Sep</t>
  </si>
  <si>
    <t>2013 - Oct</t>
  </si>
  <si>
    <t>2013 - Nov</t>
  </si>
  <si>
    <t>2013 - Dec</t>
  </si>
  <si>
    <t>2014 - Jan</t>
  </si>
  <si>
    <t>2014 - Feb</t>
  </si>
  <si>
    <t>2014 - Mar</t>
  </si>
  <si>
    <t>2014 - Apr</t>
  </si>
  <si>
    <t>2014 - May</t>
  </si>
  <si>
    <t>2014 - Jun</t>
  </si>
  <si>
    <t>2014 - Jul</t>
  </si>
  <si>
    <t>2014 - Aug</t>
  </si>
  <si>
    <t>2014 - Sep</t>
  </si>
  <si>
    <t>2014 - Oct</t>
  </si>
  <si>
    <t>2014 - Nov</t>
  </si>
  <si>
    <t>2014 - Dec</t>
  </si>
  <si>
    <t>2015 - Jan</t>
  </si>
  <si>
    <t>2015 - Feb</t>
  </si>
  <si>
    <t>2015 - Mar</t>
  </si>
  <si>
    <t>2015 - Apr</t>
  </si>
  <si>
    <t>2015 - May</t>
  </si>
  <si>
    <t>2015 - Jun</t>
  </si>
  <si>
    <t>2015 - Jul</t>
  </si>
  <si>
    <t>2015 - Aug</t>
  </si>
  <si>
    <t>2015 - Sep</t>
  </si>
  <si>
    <t>2015 - Oct</t>
  </si>
  <si>
    <t>2015 - Nov</t>
  </si>
  <si>
    <t>2015 - Dec</t>
  </si>
  <si>
    <t>2016 - Jan</t>
  </si>
  <si>
    <t>2016 - Feb</t>
  </si>
  <si>
    <t>2016 - Mar</t>
  </si>
  <si>
    <t>2016 - Apr</t>
  </si>
  <si>
    <t>2016 - May</t>
  </si>
  <si>
    <t>2016 - Jun</t>
  </si>
  <si>
    <t>2016 - Jul</t>
  </si>
  <si>
    <t>2016 - Aug</t>
  </si>
  <si>
    <t>2016 - Sep</t>
  </si>
  <si>
    <t>2016 - Oct</t>
  </si>
  <si>
    <t>2016 - Nov</t>
  </si>
  <si>
    <t>2016 - Dec</t>
  </si>
  <si>
    <t>2017 - Jan</t>
  </si>
  <si>
    <t>2017 - Feb</t>
  </si>
  <si>
    <t>2017 - Mar</t>
  </si>
  <si>
    <t>2017 - Apr</t>
  </si>
  <si>
    <t>2017 - May</t>
  </si>
  <si>
    <t>2017 - Jun</t>
  </si>
  <si>
    <t>2017 - Jul</t>
  </si>
  <si>
    <t>2017 - Aug</t>
  </si>
  <si>
    <t>2017 - Sep</t>
  </si>
  <si>
    <t>2017 - Oct</t>
  </si>
  <si>
    <t>2017 - Nov</t>
  </si>
  <si>
    <t>2017 - Dec</t>
  </si>
  <si>
    <t>2018 - Jan</t>
  </si>
  <si>
    <t>2018 - Feb</t>
  </si>
  <si>
    <t>2018 - Mar</t>
  </si>
  <si>
    <t xml:space="preserve">2018 - Apr </t>
  </si>
  <si>
    <t>2018 - May</t>
  </si>
  <si>
    <t>2018 - Jun</t>
  </si>
  <si>
    <t>2018 - Jul</t>
  </si>
  <si>
    <t>2018 - Aug</t>
  </si>
  <si>
    <t>2018 - Sep</t>
  </si>
  <si>
    <t>2018 - Oct</t>
  </si>
  <si>
    <t>2018 - Nov</t>
  </si>
  <si>
    <t>2018 - Dec</t>
  </si>
  <si>
    <t>2019 - Jan</t>
  </si>
  <si>
    <t>2019 - Feb</t>
  </si>
  <si>
    <t>2019 - Mar</t>
  </si>
  <si>
    <t>2019 - Apr</t>
  </si>
  <si>
    <t>2019 - May</t>
  </si>
  <si>
    <t>2019 - Jun</t>
  </si>
  <si>
    <t>2019 - Jul</t>
  </si>
  <si>
    <t>2019 - Aug</t>
  </si>
  <si>
    <t>2019 - Sep</t>
  </si>
  <si>
    <t>2019 - Oct</t>
  </si>
  <si>
    <t>2019 - Nov</t>
  </si>
  <si>
    <t>2019 - Dec</t>
  </si>
  <si>
    <t>2020 - Jan</t>
  </si>
  <si>
    <t>2020 - Feb</t>
  </si>
  <si>
    <t>2020 - Mar</t>
  </si>
  <si>
    <t>2020 - Apr</t>
  </si>
  <si>
    <t>2020 - May</t>
  </si>
  <si>
    <t>2020 - Jun</t>
  </si>
  <si>
    <t>2020 - Jul</t>
  </si>
  <si>
    <t>2020 - Aug</t>
  </si>
  <si>
    <t>2020 - Sep</t>
  </si>
  <si>
    <t>2020 - Oct</t>
  </si>
  <si>
    <t>2020 - Nov</t>
  </si>
  <si>
    <t>2020 - Dec</t>
  </si>
  <si>
    <t>2021 - Jan</t>
  </si>
  <si>
    <t>2021 - Feb</t>
  </si>
  <si>
    <t>2021 - Mar</t>
  </si>
  <si>
    <t>2021 - Apr</t>
  </si>
  <si>
    <t>2021 - May</t>
  </si>
  <si>
    <t>2021 - June</t>
  </si>
  <si>
    <t>2021 - July</t>
  </si>
  <si>
    <t>2021 - Aug</t>
  </si>
  <si>
    <t>2021 - Sep</t>
  </si>
  <si>
    <t>2021 - Oct</t>
  </si>
  <si>
    <t>2021 - Nov</t>
  </si>
  <si>
    <t>2021 - Dec</t>
  </si>
  <si>
    <t>2022 - Jan</t>
  </si>
  <si>
    <t>2022 - Feb</t>
  </si>
  <si>
    <t>2022 - Mar</t>
  </si>
  <si>
    <t>2022 - Apr</t>
  </si>
  <si>
    <t>2022 - May</t>
  </si>
  <si>
    <t>2022 - Jun</t>
  </si>
  <si>
    <t>2022 - Jul</t>
  </si>
  <si>
    <t>2022 - Aug</t>
  </si>
  <si>
    <t>2022 - Sep</t>
  </si>
  <si>
    <t>2022 - Oct</t>
  </si>
  <si>
    <t>2022 - Nov</t>
  </si>
  <si>
    <t>2022 - Dec</t>
  </si>
  <si>
    <t>2023 - Jan</t>
  </si>
  <si>
    <t>2023 - Feb</t>
  </si>
  <si>
    <t>2023 - Mar</t>
  </si>
  <si>
    <t>2023 - Apr</t>
  </si>
  <si>
    <t>2023 - May</t>
  </si>
  <si>
    <t>2023 - June</t>
  </si>
  <si>
    <t>2023 - July</t>
  </si>
  <si>
    <t>2023 - Aug</t>
  </si>
  <si>
    <t>2023 - Sep</t>
  </si>
  <si>
    <t>2023 - Oct</t>
  </si>
  <si>
    <t>2023 - Nov</t>
  </si>
  <si>
    <t>2023 - Dec</t>
  </si>
  <si>
    <t>2024 - Jan</t>
  </si>
  <si>
    <t>2024 - July</t>
  </si>
  <si>
    <t>2024 - Aug</t>
  </si>
  <si>
    <t>2024 - Sep</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</si>
</sst>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 mmmm\ yyyy"/>
    <numFmt numFmtId="165" formatCode="General_)"/>
    <numFmt numFmtId="166" formatCode="\ [$-409]d\ mmmm\ yyyy"/>
    <numFmt numFmtId="167" formatCode="mmm\ yy"/>
    <numFmt numFmtId="168" formatCode="0.0"/>
    <numFmt numFmtId="169" formatCode="0.000"/>
  </numFmts>
  <fonts count="29">
    <font>
      <sz val="11.0"/>
      <color theme="1"/>
      <name val="Arial"/>
      <scheme val="minor"/>
    </font>
    <font>
      <b/>
      <sz val="10.0"/>
      <color theme="1"/>
      <name val="Arial"/>
    </font>
    <font>
      <b/>
      <u/>
      <sz val="8.0"/>
      <color rgb="FFFFFFFF"/>
      <name val="Arial"/>
    </font>
    <font>
      <sz val="10.0"/>
      <color theme="1"/>
      <name val="Arial"/>
    </font>
    <font>
      <sz val="20.0"/>
      <color rgb="FFC00000"/>
      <name val="Arial"/>
    </font>
    <font>
      <sz val="10.0"/>
      <color rgb="FF58595B"/>
      <name val="Arial"/>
    </font>
    <font>
      <u/>
      <sz val="11.0"/>
      <color theme="10"/>
      <name val="Arial"/>
    </font>
    <font>
      <u/>
      <sz val="10.0"/>
      <color theme="10"/>
      <name val="Arial"/>
    </font>
    <font>
      <sz val="7.0"/>
      <color theme="1"/>
      <name val="Arial"/>
    </font>
    <font>
      <u/>
      <sz val="10.0"/>
      <color rgb="FF0000FF"/>
      <name val="Arial"/>
    </font>
    <font>
      <b/>
      <sz val="20.0"/>
      <color theme="1"/>
      <name val="Arial"/>
    </font>
    <font>
      <b/>
      <i/>
      <sz val="12.0"/>
      <color rgb="FFB4BCBE"/>
      <name val="Arial Black"/>
    </font>
    <font>
      <b/>
      <i/>
      <sz val="14.0"/>
      <color rgb="FF595959"/>
      <name val="Arial Black"/>
    </font>
    <font>
      <b/>
      <sz val="14.0"/>
      <color rgb="FF000000"/>
      <name val="Courier"/>
    </font>
    <font>
      <b/>
      <sz val="14.0"/>
      <color rgb="FF000000"/>
      <name val="Helvetica Neue"/>
    </font>
    <font>
      <b/>
      <sz val="14.0"/>
      <color theme="1"/>
      <name val="Helvetica Neue"/>
    </font>
    <font>
      <sz val="8.0"/>
      <color theme="1"/>
      <name val="Arial"/>
    </font>
    <font>
      <b/>
      <sz val="11.0"/>
      <color theme="1"/>
      <name val="Arial"/>
    </font>
    <font>
      <b/>
      <i/>
      <sz val="24.0"/>
      <color theme="1"/>
      <name val="Helvetica Neue"/>
    </font>
    <font>
      <b/>
      <i/>
      <sz val="14.0"/>
      <color theme="1"/>
      <name val="Helvetica Neue"/>
    </font>
    <font>
      <b/>
      <i/>
      <sz val="18.0"/>
      <color theme="1"/>
      <name val="Helvetica Neue"/>
    </font>
    <font>
      <sz val="10.0"/>
      <color theme="1"/>
      <name val="Times New Roman"/>
    </font>
    <font>
      <b/>
      <sz val="10.0"/>
      <color theme="0"/>
      <name val="Arial"/>
    </font>
    <font>
      <sz val="8.0"/>
      <color rgb="FF005A78"/>
      <name val="Arial"/>
    </font>
    <font>
      <b/>
      <sz val="9.0"/>
      <color theme="1"/>
      <name val="Arial"/>
    </font>
    <font>
      <sz val="9.0"/>
      <color theme="1"/>
      <name val="Arial"/>
    </font>
    <font>
      <b/>
      <sz val="8.0"/>
      <color theme="1"/>
      <name val="Arial"/>
    </font>
    <font/>
    <font>
      <b/>
      <sz val="10.0"/>
      <color rgb="FFC00000"/>
      <name val="Arial"/>
    </font>
  </fonts>
  <fills count="5">
    <fill>
      <patternFill patternType="none"/>
    </fill>
    <fill>
      <patternFill patternType="lightGray"/>
    </fill>
    <fill>
      <patternFill patternType="solid">
        <fgColor rgb="FFC00000"/>
        <bgColor rgb="FFC00000"/>
      </patternFill>
    </fill>
    <fill>
      <patternFill patternType="solid">
        <fgColor rgb="FFFFFFFF"/>
        <bgColor rgb="FFFFFFFF"/>
      </patternFill>
    </fill>
    <fill>
      <patternFill patternType="solid">
        <fgColor theme="0"/>
        <bgColor theme="0"/>
      </patternFill>
    </fill>
  </fills>
  <borders count="7">
    <border/>
    <border>
      <left/>
      <right/>
      <top/>
      <bottom/>
    </border>
    <border>
      <bottom style="thin">
        <color rgb="FF7F8080"/>
      </bottom>
    </border>
    <border>
      <bottom style="hair">
        <color rgb="FF000000"/>
      </bottom>
    </border>
    <border>
      <left/>
      <top/>
      <bottom/>
    </border>
    <border>
      <top/>
      <bottom/>
    </border>
    <border>
      <right/>
      <top/>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1" fillId="2" fontId="1" numFmtId="3" xfId="0" applyAlignment="1" applyBorder="1" applyFill="1" applyFont="1" applyNumberFormat="1">
      <alignment horizontal="left" vertical="center"/>
    </xf>
    <xf borderId="1" fillId="2" fontId="2" numFmtId="3" xfId="0" applyAlignment="1" applyBorder="1" applyFont="1" applyNumberFormat="1">
      <alignment horizontal="center" vertical="center"/>
    </xf>
    <xf borderId="0" fillId="0" fontId="3" numFmtId="3" xfId="0" applyAlignment="1" applyFont="1" applyNumberFormat="1">
      <alignment vertical="center"/>
    </xf>
    <xf borderId="0" fillId="0" fontId="4" numFmtId="3" xfId="0" applyAlignment="1" applyFont="1" applyNumberFormat="1">
      <alignment vertical="center"/>
    </xf>
    <xf borderId="0" fillId="0" fontId="1" numFmtId="3" xfId="0" applyAlignment="1" applyFont="1" applyNumberFormat="1">
      <alignment horizontal="left" vertical="center"/>
    </xf>
    <xf borderId="0" fillId="0" fontId="5" numFmtId="164" xfId="0" applyAlignment="1" applyFont="1" applyNumberFormat="1">
      <alignment horizontal="left" vertical="center"/>
    </xf>
    <xf borderId="0" fillId="0" fontId="1" numFmtId="3" xfId="0" applyAlignment="1" applyFont="1" applyNumberFormat="1">
      <alignment shrinkToFit="0" vertical="center" wrapText="1"/>
    </xf>
    <xf borderId="1" fillId="3" fontId="3" numFmtId="0" xfId="0" applyAlignment="1" applyBorder="1" applyFill="1" applyFont="1">
      <alignment horizontal="left" vertical="center"/>
    </xf>
    <xf borderId="1" fillId="3" fontId="6" numFmtId="0" xfId="0" applyAlignment="1" applyBorder="1" applyFont="1">
      <alignment horizontal="left" vertical="center"/>
    </xf>
    <xf borderId="0" fillId="0" fontId="3" numFmtId="3" xfId="0" applyAlignment="1" applyFont="1" applyNumberFormat="1">
      <alignment horizontal="left" shrinkToFit="0" vertical="top" wrapText="1"/>
    </xf>
    <xf borderId="1" fillId="3" fontId="7" numFmtId="0" xfId="0" applyAlignment="1" applyBorder="1" applyFont="1">
      <alignment horizontal="left" vertical="center"/>
    </xf>
    <xf borderId="0" fillId="0" fontId="8" numFmtId="3" xfId="0" applyAlignment="1" applyFont="1" applyNumberFormat="1">
      <alignment horizontal="right" vertical="top"/>
    </xf>
    <xf borderId="0" fillId="0" fontId="9" numFmtId="3" xfId="0" applyFont="1" applyNumberFormat="1"/>
    <xf borderId="0" fillId="0" fontId="3" numFmtId="0" xfId="0" applyFont="1"/>
    <xf borderId="0" fillId="0" fontId="10" numFmtId="0" xfId="0" applyFont="1"/>
    <xf borderId="0" fillId="0" fontId="11" numFmtId="165" xfId="0" applyAlignment="1" applyFont="1" applyNumberFormat="1">
      <alignment horizontal="center"/>
    </xf>
    <xf borderId="0" fillId="0" fontId="12" numFmtId="0" xfId="0" applyAlignment="1" applyFont="1">
      <alignment horizontal="right"/>
    </xf>
    <xf borderId="0" fillId="0" fontId="13" numFmtId="0" xfId="0" applyFont="1"/>
    <xf borderId="0" fillId="0" fontId="14" numFmtId="0" xfId="0" applyFont="1"/>
    <xf borderId="0" fillId="0" fontId="15" numFmtId="0" xfId="0" applyFont="1"/>
    <xf borderId="0" fillId="0" fontId="16" numFmtId="0" xfId="0" applyFont="1"/>
    <xf borderId="0" fillId="0" fontId="17" numFmtId="166" xfId="0" applyAlignment="1" applyFont="1" applyNumberFormat="1">
      <alignment horizontal="left" vertical="center"/>
    </xf>
    <xf borderId="0" fillId="0" fontId="18" numFmtId="0" xfId="0" applyFont="1"/>
    <xf borderId="0" fillId="0" fontId="19" numFmtId="0" xfId="0" applyFont="1"/>
    <xf borderId="0" fillId="0" fontId="20" numFmtId="0" xfId="0" applyFont="1"/>
    <xf borderId="0" fillId="0" fontId="21" numFmtId="0" xfId="0" applyFont="1"/>
    <xf borderId="0" fillId="0" fontId="22" numFmtId="0" xfId="0" applyAlignment="1" applyFont="1">
      <alignment vertical="center"/>
    </xf>
    <xf borderId="2" fillId="0" fontId="3" numFmtId="0" xfId="0" applyBorder="1" applyFont="1"/>
    <xf borderId="3" fillId="0" fontId="23" numFmtId="167" xfId="0" applyAlignment="1" applyBorder="1" applyFont="1" applyNumberFormat="1">
      <alignment horizontal="right"/>
    </xf>
    <xf borderId="2" fillId="0" fontId="24" numFmtId="167" xfId="0" applyAlignment="1" applyBorder="1" applyFont="1" applyNumberFormat="1">
      <alignment horizontal="right"/>
    </xf>
    <xf borderId="0" fillId="0" fontId="24" numFmtId="0" xfId="0" applyFont="1"/>
    <xf borderId="0" fillId="0" fontId="16" numFmtId="3" xfId="0" applyFont="1" applyNumberFormat="1"/>
    <xf borderId="0" fillId="0" fontId="25" numFmtId="3" xfId="0" applyFont="1" applyNumberFormat="1"/>
    <xf borderId="0" fillId="0" fontId="25" numFmtId="0" xfId="0" applyAlignment="1" applyFont="1">
      <alignment horizontal="left"/>
    </xf>
    <xf borderId="0" fillId="0" fontId="25" numFmtId="168" xfId="0" applyFont="1" applyNumberFormat="1"/>
    <xf borderId="0" fillId="0" fontId="26" numFmtId="0" xfId="0" applyFont="1"/>
    <xf borderId="0" fillId="0" fontId="16" numFmtId="168" xfId="0" applyFont="1" applyNumberFormat="1"/>
    <xf borderId="0" fillId="0" fontId="1" numFmtId="0" xfId="0" applyAlignment="1" applyFont="1">
      <alignment horizontal="left" vertical="center"/>
    </xf>
    <xf quotePrefix="1" borderId="2" fillId="0" fontId="17" numFmtId="0" xfId="0" applyAlignment="1" applyBorder="1" applyFont="1">
      <alignment horizontal="left" vertical="center"/>
    </xf>
    <xf borderId="2" fillId="0" fontId="27" numFmtId="0" xfId="0" applyBorder="1" applyFont="1"/>
    <xf borderId="2" fillId="0" fontId="26" numFmtId="167" xfId="0" applyAlignment="1" applyBorder="1" applyFont="1" applyNumberFormat="1">
      <alignment horizontal="right"/>
    </xf>
    <xf borderId="0" fillId="0" fontId="16" numFmtId="0" xfId="0" applyAlignment="1" applyFont="1">
      <alignment horizontal="right"/>
    </xf>
    <xf borderId="2" fillId="0" fontId="16" numFmtId="0" xfId="0" applyBorder="1" applyFont="1"/>
    <xf borderId="2" fillId="0" fontId="16" numFmtId="168" xfId="0" applyBorder="1" applyFont="1" applyNumberFormat="1"/>
    <xf borderId="1" fillId="4" fontId="16" numFmtId="0" xfId="0" applyBorder="1" applyFill="1" applyFont="1"/>
    <xf borderId="1" fillId="4" fontId="3" numFmtId="0" xfId="0" applyBorder="1" applyFont="1"/>
    <xf borderId="4" fillId="4" fontId="1" numFmtId="0" xfId="0" applyAlignment="1" applyBorder="1" applyFont="1">
      <alignment horizontal="center"/>
    </xf>
    <xf borderId="5" fillId="0" fontId="27" numFmtId="0" xfId="0" applyBorder="1" applyFont="1"/>
    <xf borderId="6" fillId="0" fontId="27" numFmtId="0" xfId="0" applyBorder="1" applyFont="1"/>
    <xf borderId="0" fillId="0" fontId="28" numFmtId="0" xfId="0" applyAlignment="1" applyFont="1">
      <alignment horizontal="center" shrinkToFit="0" wrapText="1"/>
    </xf>
    <xf borderId="0" fillId="0" fontId="1" numFmtId="0" xfId="0" applyAlignment="1" applyFont="1">
      <alignment horizontal="center" shrinkToFit="0" wrapText="1"/>
    </xf>
    <xf borderId="0" fillId="0" fontId="3" numFmtId="16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295275</xdr:colOff>
      <xdr:row>20</xdr:row>
      <xdr:rowOff>66675</xdr:rowOff>
    </xdr:from>
    <xdr:ext cx="76200" cy="180975"/>
    <xdr:sp>
      <xdr:nvSpPr>
        <xdr:cNvPr id="3" name="Shape 3"/>
        <xdr:cNvSpPr txBox="1"/>
      </xdr:nvSpPr>
      <xdr:spPr>
        <a:xfrm>
          <a:off x="5307900" y="3694275"/>
          <a:ext cx="76200" cy="171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0</xdr:colOff>
      <xdr:row>8</xdr:row>
      <xdr:rowOff>0</xdr:rowOff>
    </xdr:from>
    <xdr:ext cx="8705850" cy="885825"/>
    <xdr:sp>
      <xdr:nvSpPr>
        <xdr:cNvPr id="4" name="Shape 4"/>
        <xdr:cNvSpPr txBox="1"/>
      </xdr:nvSpPr>
      <xdr:spPr>
        <a:xfrm>
          <a:off x="997838" y="3337088"/>
          <a:ext cx="8696325" cy="885825"/>
        </a:xfrm>
        <a:prstGeom prst="rect">
          <a:avLst/>
        </a:prstGeom>
        <a:noFill/>
        <a:ln>
          <a:noFill/>
        </a:ln>
      </xdr:spPr>
      <xdr:txBody>
        <a:bodyPr anchorCtr="0" anchor="ctr" bIns="22850" lIns="27425" spcFirstLastPara="1" rIns="0" wrap="square" tIns="22850">
          <a:noAutofit/>
        </a:bodyPr>
        <a:lstStyle/>
        <a:p>
          <a:pPr indent="0" lvl="0" marL="0" rtl="0" algn="l">
            <a:spcBef>
              <a:spcPts val="0"/>
            </a:spcBef>
            <a:spcAft>
              <a:spcPts val="0"/>
            </a:spcAft>
            <a:buNone/>
          </a:pPr>
          <a:r>
            <a:rPr b="1" lang="en-US" sz="700">
              <a:solidFill>
                <a:srgbClr val="C00000"/>
              </a:solidFill>
              <a:latin typeface="Arial"/>
              <a:ea typeface="Arial"/>
              <a:cs typeface="Arial"/>
              <a:sym typeface="Arial"/>
            </a:rPr>
            <a:t>Disclaimer</a:t>
          </a:r>
          <a:br>
            <a:rPr b="1" lang="en-US" sz="1100">
              <a:latin typeface="Arial"/>
              <a:ea typeface="Arial"/>
              <a:cs typeface="Arial"/>
              <a:sym typeface="Arial"/>
            </a:rPr>
          </a:br>
          <a:r>
            <a:rPr lang="en-US" sz="500">
              <a:solidFill>
                <a:srgbClr val="58595B"/>
              </a:solidFill>
              <a:latin typeface="Arial"/>
              <a:ea typeface="Arial"/>
              <a:cs typeface="Arial"/>
              <a:sym typeface="Arial"/>
            </a:rPr>
            <a:t>These materials have been prepared solely for information purposes based upon information generally available to the public and from sources believed to be reliable. No content (including index data, ratings, credit-related analyses and data, research, model, software or other application or output therefrom) or any part thereof (Content) may be modified, reverse engineered, reproduced or distributed in any form by any means, or stored in a database or retrieval system, without the prior written permission of S&amp;P Global Market Intelligence or its affiliates (collectively S&amp;P Global). The Content shall not be used for any unlawful or unauthorized purposes. S&amp;P Global and any third-party providers (collectively S&amp;P Global Parties) do not guarantee the accuracy, completeness, timeliness or availability of the Content. S&amp;P Global Parties are not responsible for any errors or omissions, regardless of the cause, for the results obtained from the use of the Content. THE CONTENT IS PROVIDED ON “AS IS” BASIS. S&amp;P GLOBAL PARTIES DISCLAIM ANY AND ALL EXPRESS OR IMPLIED WARRANTIES, INCLUDING, BUT NOT LIMITED TO, ANY WARRANTIES OF MERCHANTABILITY OR FITNESS FOR A PARTICULAR PURPOSE OR USE, FREEDOM FROM BUGS, SOFTWARE ERRORS OR DEFECTS, THAT THE CONTENT’S FUNCTIONING WILL BE UNINTERRUPTED OR THAT THE CONTENT WILL OPERATE WITH ANY SOFTWARE OR HARDWARE CONFIGURATION. In no event shall S&amp;P Global Parties be liable to any party for any direct, indirect, incidental, exemplary, compensatory, punitive, special or con-sequential damages, costs, expenses, legal fees, or losses (including, without limitation, lost income or lost profits and opportunity costs or losses caused by negligence) in connection with any use of the Content even if advised of the possibility of such damages.  </a:t>
          </a:r>
          <a:endParaRPr sz="1400"/>
        </a:p>
      </xdr:txBody>
    </xdr:sp>
    <xdr:clientData fLocksWithSheet="0"/>
  </xdr:oneCellAnchor>
  <xdr:oneCellAnchor>
    <xdr:from>
      <xdr:col>1</xdr:col>
      <xdr:colOff>0</xdr:colOff>
      <xdr:row>8</xdr:row>
      <xdr:rowOff>19050</xdr:rowOff>
    </xdr:from>
    <xdr:ext cx="12963525" cy="38100"/>
    <xdr:grpSp>
      <xdr:nvGrpSpPr>
        <xdr:cNvPr id="2" name="Shape 2"/>
        <xdr:cNvGrpSpPr/>
      </xdr:nvGrpSpPr>
      <xdr:grpSpPr>
        <a:xfrm>
          <a:off x="0" y="3780000"/>
          <a:ext cx="10692000" cy="0"/>
          <a:chOff x="0" y="3780000"/>
          <a:chExt cx="10692000" cy="0"/>
        </a:xfrm>
      </xdr:grpSpPr>
      <xdr:cxnSp>
        <xdr:nvCxnSpPr>
          <xdr:cNvPr id="5" name="Shape 5"/>
          <xdr:cNvCxnSpPr/>
        </xdr:nvCxnSpPr>
        <xdr:spPr>
          <a:xfrm>
            <a:off x="0" y="3780000"/>
            <a:ext cx="10692000" cy="0"/>
          </a:xfrm>
          <a:prstGeom prst="straightConnector1">
            <a:avLst/>
          </a:prstGeom>
          <a:noFill/>
          <a:ln cap="flat" cmpd="sng" w="9525">
            <a:solidFill>
              <a:srgbClr val="C00000"/>
            </a:solidFill>
            <a:prstDash val="solid"/>
            <a:round/>
            <a:headEnd len="sm" w="sm" type="none"/>
            <a:tailEnd len="sm" w="sm" type="none"/>
          </a:ln>
        </xdr:spPr>
      </xdr:cxnSp>
    </xdr:grpSp>
    <xdr:clientData fLocksWithSheet="0"/>
  </xdr:oneCellAnchor>
  <xdr:oneCellAnchor>
    <xdr:from>
      <xdr:col>1</xdr:col>
      <xdr:colOff>0</xdr:colOff>
      <xdr:row>8</xdr:row>
      <xdr:rowOff>857250</xdr:rowOff>
    </xdr:from>
    <xdr:ext cx="12963525" cy="38100"/>
    <xdr:grpSp>
      <xdr:nvGrpSpPr>
        <xdr:cNvPr id="2" name="Shape 2"/>
        <xdr:cNvGrpSpPr/>
      </xdr:nvGrpSpPr>
      <xdr:grpSpPr>
        <a:xfrm>
          <a:off x="0" y="3780000"/>
          <a:ext cx="10692000" cy="0"/>
          <a:chOff x="0" y="3780000"/>
          <a:chExt cx="10692000" cy="0"/>
        </a:xfrm>
      </xdr:grpSpPr>
      <xdr:cxnSp>
        <xdr:nvCxnSpPr>
          <xdr:cNvPr id="5" name="Shape 5"/>
          <xdr:cNvCxnSpPr/>
        </xdr:nvCxnSpPr>
        <xdr:spPr>
          <a:xfrm>
            <a:off x="0" y="3780000"/>
            <a:ext cx="10692000" cy="0"/>
          </a:xfrm>
          <a:prstGeom prst="straightConnector1">
            <a:avLst/>
          </a:prstGeom>
          <a:noFill/>
          <a:ln cap="flat" cmpd="sng" w="9525">
            <a:solidFill>
              <a:srgbClr val="C00000"/>
            </a:solidFill>
            <a:prstDash val="solid"/>
            <a:round/>
            <a:headEnd len="sm" w="sm" type="none"/>
            <a:tailEnd len="sm" w="sm" type="none"/>
          </a:ln>
        </xdr:spPr>
      </xdr:cxnSp>
    </xdr:grpSp>
    <xdr:clientData fLocksWithSheet="0"/>
  </xdr:oneCellAnchor>
  <xdr:oneCellAnchor>
    <xdr:from>
      <xdr:col>16</xdr:col>
      <xdr:colOff>352425</xdr:colOff>
      <xdr:row>8</xdr:row>
      <xdr:rowOff>352425</xdr:rowOff>
    </xdr:from>
    <xdr:ext cx="1304925" cy="447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13</xdr:row>
      <xdr:rowOff>9525</xdr:rowOff>
    </xdr:from>
    <xdr:ext cx="4324350" cy="1647825"/>
    <xdr:sp>
      <xdr:nvSpPr>
        <xdr:cNvPr id="6" name="Shape 6"/>
        <xdr:cNvSpPr txBox="1"/>
      </xdr:nvSpPr>
      <xdr:spPr>
        <a:xfrm>
          <a:off x="3188588" y="2960850"/>
          <a:ext cx="4314825" cy="1638300"/>
        </a:xfrm>
        <a:prstGeom prst="rect">
          <a:avLst/>
        </a:prstGeom>
        <a:noFill/>
        <a:ln>
          <a:noFill/>
        </a:ln>
      </xdr:spPr>
      <xdr:txBody>
        <a:bodyPr anchorCtr="0" anchor="t" bIns="0" lIns="27425" spcFirstLastPara="1" rIns="0" wrap="square" tIns="22850">
          <a:noAutofit/>
        </a:bodyPr>
        <a:lstStyle/>
        <a:p>
          <a:pPr indent="0" lvl="0" marL="0" marR="0" rtl="0" algn="l">
            <a:lnSpc>
              <a:spcPct val="100000"/>
            </a:lnSpc>
            <a:spcBef>
              <a:spcPts val="0"/>
            </a:spcBef>
            <a:spcAft>
              <a:spcPts val="0"/>
            </a:spcAft>
            <a:buSzPts val="960"/>
            <a:buFont typeface="Arial"/>
            <a:buNone/>
          </a:pPr>
          <a:r>
            <a:rPr i="0" lang="en-US" sz="960">
              <a:latin typeface="Arial"/>
              <a:ea typeface="Arial"/>
              <a:cs typeface="Arial"/>
              <a:sym typeface="Arial"/>
            </a:rPr>
            <a:t>Monthly GDP declined 0.3% in September following a 0.2% increase in August that was revised higher by 0.2 percentage point. The decline in September in part reflected a strike against The Boeing Co., which shut down their aircraft assemblies about halfway into the month. More broadly, declines in net exports and inventory investment in September were only partially offset by a solid gain in personal consumption expenditures. The level of monthly GDP in September was 0.6% below the third-quarter average at an annual rate. Monthly increases averaging 0.3% per month are implicit in our latest tracking forecast of 1.6% annualized GDP growth in the fourth quarter.</a:t>
          </a:r>
          <a:endParaRPr sz="1400"/>
        </a:p>
      </xdr:txBody>
    </xdr:sp>
    <xdr:clientData fLocksWithSheet="0"/>
  </xdr:oneCellAnchor>
  <xdr:oneCellAnchor>
    <xdr:from>
      <xdr:col>1</xdr:col>
      <xdr:colOff>0</xdr:colOff>
      <xdr:row>55</xdr:row>
      <xdr:rowOff>66675</xdr:rowOff>
    </xdr:from>
    <xdr:ext cx="8886825" cy="523875"/>
    <xdr:sp>
      <xdr:nvSpPr>
        <xdr:cNvPr id="7" name="Shape 7"/>
        <xdr:cNvSpPr txBox="1"/>
      </xdr:nvSpPr>
      <xdr:spPr>
        <a:xfrm>
          <a:off x="902588" y="3522825"/>
          <a:ext cx="8886825" cy="514350"/>
        </a:xfrm>
        <a:prstGeom prst="rect">
          <a:avLst/>
        </a:prstGeom>
        <a:solidFill>
          <a:srgbClr val="FFFFFF"/>
        </a:solidFill>
        <a:ln>
          <a:noFill/>
        </a:ln>
      </xdr:spPr>
      <xdr:txBody>
        <a:bodyPr anchorCtr="0" anchor="t" bIns="0" lIns="27425" spcFirstLastPara="1" rIns="0" wrap="square" tIns="22850">
          <a:noAutofit/>
        </a:bodyPr>
        <a:lstStyle/>
        <a:p>
          <a:pPr indent="0" lvl="0" marL="0" rtl="1" algn="l">
            <a:lnSpc>
              <a:spcPct val="100000"/>
            </a:lnSpc>
            <a:spcBef>
              <a:spcPts val="0"/>
            </a:spcBef>
            <a:spcAft>
              <a:spcPts val="0"/>
            </a:spcAft>
            <a:buNone/>
          </a:pPr>
          <a:r>
            <a:rPr b="1" i="0" lang="en-US" sz="800" strike="noStrike">
              <a:solidFill>
                <a:srgbClr val="000000"/>
              </a:solidFill>
              <a:latin typeface="Arial"/>
              <a:ea typeface="Arial"/>
              <a:cs typeface="Arial"/>
              <a:sym typeface="Arial"/>
            </a:rPr>
            <a:t>Note</a:t>
          </a:r>
          <a:r>
            <a:rPr b="1" i="0" lang="en-US" sz="800" strike="noStrike">
              <a:solidFill>
                <a:srgbClr val="00AB4E"/>
              </a:solidFill>
              <a:latin typeface="Arial"/>
              <a:ea typeface="Arial"/>
              <a:cs typeface="Arial"/>
              <a:sym typeface="Arial"/>
            </a:rPr>
            <a:t>:</a:t>
          </a:r>
          <a:r>
            <a:rPr b="0" i="0" lang="en-US" sz="800" strike="noStrike">
              <a:solidFill>
                <a:srgbClr val="000000"/>
              </a:solidFill>
              <a:latin typeface="Arial"/>
              <a:ea typeface="Arial"/>
              <a:cs typeface="Arial"/>
              <a:sym typeface="Arial"/>
            </a:rPr>
            <a:t> S&amp;P Global Market Intelligence's index of Monthly GDP (MGDP) is a monthly indicator of real aggregate output that is conceptually consistent with real Gross Domestic Product (GDP) in the NIPA’s.  The consistency is derived from two sources.  First, MGDP is calculated using much of the same underlying monthly source data that is used in the calculation of GDP.  Second, the method of aggregation to arrive at MGDP is similar to that for official GDP.  Growth of MGDP at the monthly frequency is determined primarily by movements in the underlying monthly source data, and growth of MGDP at the quarterly frequency is nearly identical to growth of real GDP.</a:t>
          </a:r>
          <a:endParaRPr sz="1400"/>
        </a:p>
      </xdr:txBody>
    </xdr:sp>
    <xdr:clientData fLocksWithSheet="0"/>
  </xdr:oneCellAnchor>
  <xdr:oneCellAnchor>
    <xdr:from>
      <xdr:col>1</xdr:col>
      <xdr:colOff>0</xdr:colOff>
      <xdr:row>24</xdr:row>
      <xdr:rowOff>152400</xdr:rowOff>
    </xdr:from>
    <xdr:ext cx="3895725" cy="4581525"/>
    <xdr:sp>
      <xdr:nvSpPr>
        <xdr:cNvPr id="8" name="Shape 8"/>
        <xdr:cNvSpPr/>
      </xdr:nvSpPr>
      <xdr:spPr>
        <a:xfrm>
          <a:off x="3402900" y="1494000"/>
          <a:ext cx="3886200" cy="4572000"/>
        </a:xfrm>
        <a:prstGeom prst="rect">
          <a:avLst/>
        </a:prstGeom>
        <a:no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b="1" sz="1300">
            <a:solidFill>
              <a:schemeClr val="lt1"/>
            </a:solidFill>
          </a:endParaRPr>
        </a:p>
      </xdr:txBody>
    </xdr:sp>
    <xdr:clientData fLocksWithSheet="0"/>
  </xdr:oneCellAnchor>
  <xdr:oneCellAnchor>
    <xdr:from>
      <xdr:col>12</xdr:col>
      <xdr:colOff>171450</xdr:colOff>
      <xdr:row>0</xdr:row>
      <xdr:rowOff>38100</xdr:rowOff>
    </xdr:from>
    <xdr:ext cx="1504950" cy="4381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B4E"/>
      </a:accent1>
      <a:accent2>
        <a:srgbClr val="B1B3B6"/>
      </a:accent2>
      <a:accent3>
        <a:srgbClr val="009697"/>
      </a:accent3>
      <a:accent4>
        <a:srgbClr val="8DC63F"/>
      </a:accent4>
      <a:accent5>
        <a:srgbClr val="00B5F1"/>
      </a:accent5>
      <a:accent6>
        <a:srgbClr val="F7941D"/>
      </a:accent6>
      <a:hlink>
        <a:srgbClr val="0066B3"/>
      </a:hlink>
      <a:folHlink>
        <a:srgbClr val="0066B3"/>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88"/>
    <col customWidth="1" min="2" max="2" width="11.88"/>
    <col customWidth="1" min="3" max="26" width="9.63"/>
  </cols>
  <sheetData>
    <row r="1" ht="19.5" customHeight="1">
      <c r="A1" s="1"/>
      <c r="B1" s="1"/>
      <c r="C1" s="1"/>
      <c r="D1" s="1"/>
      <c r="E1" s="1"/>
      <c r="F1" s="1"/>
      <c r="G1" s="1"/>
      <c r="H1" s="1"/>
      <c r="I1" s="1"/>
      <c r="J1" s="1"/>
      <c r="K1" s="1"/>
      <c r="L1" s="2"/>
      <c r="M1" s="1"/>
      <c r="N1" s="1"/>
      <c r="O1" s="1"/>
      <c r="P1" s="1"/>
      <c r="Q1" s="1"/>
      <c r="R1" s="1"/>
      <c r="S1" s="1"/>
      <c r="T1" s="1"/>
      <c r="U1" s="1"/>
      <c r="V1" s="1"/>
      <c r="W1" s="1"/>
      <c r="X1" s="1"/>
      <c r="Y1" s="1"/>
      <c r="Z1" s="1"/>
    </row>
    <row r="2" ht="12.0" customHeight="1">
      <c r="A2" s="3"/>
      <c r="B2" s="3"/>
      <c r="C2" s="3"/>
      <c r="D2" s="3"/>
      <c r="E2" s="3"/>
      <c r="F2" s="3"/>
      <c r="G2" s="3"/>
      <c r="H2" s="3"/>
      <c r="I2" s="3"/>
      <c r="J2" s="3"/>
      <c r="K2" s="3"/>
      <c r="L2" s="3"/>
      <c r="M2" s="3"/>
      <c r="N2" s="3"/>
      <c r="O2" s="3"/>
      <c r="P2" s="3"/>
      <c r="Q2" s="3"/>
      <c r="R2" s="3"/>
      <c r="S2" s="3"/>
      <c r="T2" s="3"/>
      <c r="U2" s="3"/>
      <c r="V2" s="3"/>
      <c r="W2" s="3"/>
      <c r="X2" s="3"/>
      <c r="Y2" s="3"/>
      <c r="Z2" s="3"/>
    </row>
    <row r="3" ht="12.0" customHeight="1">
      <c r="A3" s="3"/>
      <c r="B3" s="4" t="s">
        <v>0</v>
      </c>
      <c r="C3" s="3"/>
      <c r="D3" s="3"/>
      <c r="E3" s="3"/>
      <c r="F3" s="3"/>
      <c r="G3" s="3"/>
      <c r="H3" s="3"/>
      <c r="I3" s="3"/>
      <c r="J3" s="3"/>
      <c r="K3" s="3"/>
      <c r="L3" s="3"/>
      <c r="M3" s="3"/>
      <c r="N3" s="3"/>
      <c r="O3" s="3"/>
      <c r="P3" s="3"/>
      <c r="Q3" s="3"/>
      <c r="R3" s="3"/>
      <c r="S3" s="3"/>
      <c r="T3" s="3"/>
      <c r="U3" s="3"/>
      <c r="V3" s="3"/>
      <c r="W3" s="3"/>
      <c r="X3" s="3"/>
      <c r="Y3" s="3"/>
      <c r="Z3" s="3"/>
    </row>
    <row r="4" ht="20.25" customHeight="1">
      <c r="A4" s="5"/>
      <c r="B4" s="6">
        <v>45597.0</v>
      </c>
      <c r="D4" s="3"/>
      <c r="E4" s="3"/>
      <c r="F4" s="3"/>
      <c r="G4" s="3"/>
      <c r="H4" s="3"/>
      <c r="I4" s="3"/>
      <c r="J4" s="3"/>
      <c r="K4" s="3"/>
      <c r="L4" s="3"/>
      <c r="M4" s="3"/>
      <c r="N4" s="3"/>
      <c r="O4" s="3"/>
      <c r="P4" s="3"/>
      <c r="Q4" s="3"/>
      <c r="R4" s="3"/>
      <c r="S4" s="3"/>
      <c r="T4" s="3"/>
      <c r="U4" s="3"/>
      <c r="V4" s="3"/>
      <c r="W4" s="3"/>
      <c r="X4" s="3"/>
      <c r="Y4" s="3"/>
      <c r="Z4" s="3"/>
    </row>
    <row r="5" ht="12.75" customHeight="1">
      <c r="A5" s="3"/>
      <c r="B5" s="7"/>
      <c r="I5" s="3"/>
      <c r="J5" s="3"/>
      <c r="K5" s="3"/>
      <c r="L5" s="3"/>
      <c r="M5" s="3"/>
      <c r="N5" s="3"/>
      <c r="O5" s="3"/>
      <c r="P5" s="3"/>
      <c r="Q5" s="3"/>
      <c r="R5" s="3"/>
      <c r="S5" s="3"/>
      <c r="T5" s="3"/>
      <c r="U5" s="3"/>
      <c r="V5" s="3"/>
      <c r="W5" s="3"/>
      <c r="X5" s="3"/>
      <c r="Y5" s="3"/>
      <c r="Z5" s="3"/>
    </row>
    <row r="6" ht="12.0" customHeight="1">
      <c r="A6" s="8"/>
      <c r="B6" s="9" t="s">
        <v>1</v>
      </c>
      <c r="C6" s="10"/>
      <c r="D6" s="10"/>
      <c r="E6" s="10"/>
      <c r="F6" s="10"/>
      <c r="G6" s="10"/>
      <c r="H6" s="10"/>
      <c r="I6" s="10"/>
      <c r="J6" s="10"/>
      <c r="K6" s="10"/>
      <c r="L6" s="10"/>
      <c r="M6" s="10"/>
      <c r="N6" s="10"/>
      <c r="O6" s="10"/>
      <c r="P6" s="10"/>
      <c r="Q6" s="10"/>
      <c r="R6" s="10"/>
      <c r="S6" s="10"/>
      <c r="T6" s="10"/>
      <c r="U6" s="10"/>
      <c r="V6" s="10"/>
      <c r="W6" s="10"/>
      <c r="X6" s="10"/>
      <c r="Y6" s="10"/>
      <c r="Z6" s="10"/>
    </row>
    <row r="7" ht="12.0" customHeight="1">
      <c r="A7" s="8"/>
      <c r="B7" s="9" t="s">
        <v>2</v>
      </c>
      <c r="C7" s="10"/>
      <c r="D7" s="10"/>
      <c r="E7" s="10"/>
      <c r="F7" s="10"/>
      <c r="G7" s="10"/>
      <c r="H7" s="10"/>
      <c r="I7" s="10"/>
      <c r="J7" s="10"/>
      <c r="K7" s="10"/>
      <c r="L7" s="10"/>
      <c r="M7" s="10"/>
      <c r="N7" s="10"/>
      <c r="O7" s="10"/>
      <c r="P7" s="10"/>
      <c r="Q7" s="10"/>
      <c r="R7" s="10"/>
      <c r="S7" s="10"/>
      <c r="T7" s="10"/>
      <c r="U7" s="10"/>
      <c r="V7" s="10"/>
      <c r="W7" s="10"/>
      <c r="X7" s="10"/>
      <c r="Y7" s="10"/>
      <c r="Z7" s="10"/>
    </row>
    <row r="8" ht="12.0" customHeight="1">
      <c r="A8" s="8"/>
      <c r="B8" s="11"/>
      <c r="C8" s="10"/>
      <c r="D8" s="10"/>
      <c r="E8" s="10"/>
      <c r="F8" s="10"/>
      <c r="G8" s="10"/>
      <c r="H8" s="10"/>
      <c r="I8" s="10"/>
      <c r="J8" s="10"/>
      <c r="K8" s="10"/>
      <c r="L8" s="10"/>
      <c r="M8" s="10"/>
      <c r="N8" s="10"/>
      <c r="O8" s="10"/>
      <c r="P8" s="10"/>
      <c r="Q8" s="10"/>
      <c r="R8" s="10"/>
      <c r="S8" s="10"/>
      <c r="T8" s="10"/>
      <c r="U8" s="10"/>
      <c r="V8" s="10"/>
      <c r="W8" s="10"/>
      <c r="X8" s="10"/>
      <c r="Y8" s="10"/>
      <c r="Z8" s="10"/>
    </row>
    <row r="9" ht="95.25" customHeight="1">
      <c r="A9" s="5"/>
      <c r="B9" s="5"/>
      <c r="C9" s="5"/>
      <c r="D9" s="5"/>
      <c r="E9" s="5"/>
      <c r="F9" s="5"/>
      <c r="G9" s="5"/>
      <c r="H9" s="5"/>
      <c r="I9" s="5"/>
      <c r="J9" s="5"/>
      <c r="K9" s="5"/>
      <c r="L9" s="5"/>
      <c r="M9" s="5"/>
      <c r="N9" s="5"/>
      <c r="O9" s="5"/>
      <c r="P9" s="5"/>
      <c r="Q9" s="5"/>
      <c r="R9" s="5"/>
      <c r="S9" s="5"/>
      <c r="T9" s="5"/>
      <c r="U9" s="5"/>
      <c r="V9" s="5"/>
      <c r="W9" s="5"/>
      <c r="X9" s="5"/>
      <c r="Y9" s="5"/>
      <c r="Z9" s="5"/>
    </row>
    <row r="10" ht="12.0"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2.0"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2.0"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2.0"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2.0"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2.0" customHeight="1">
      <c r="A15" s="3"/>
      <c r="B15" s="3"/>
      <c r="C15" s="3"/>
      <c r="D15" s="3"/>
      <c r="E15" s="12"/>
      <c r="F15" s="3"/>
      <c r="G15" s="3"/>
      <c r="H15" s="3"/>
      <c r="I15" s="3"/>
      <c r="J15" s="3"/>
      <c r="K15" s="3"/>
      <c r="L15" s="3"/>
      <c r="M15" s="3"/>
      <c r="N15" s="3"/>
      <c r="O15" s="3"/>
      <c r="P15" s="3"/>
      <c r="Q15" s="3"/>
      <c r="R15" s="3"/>
      <c r="S15" s="3"/>
      <c r="T15" s="3"/>
      <c r="U15" s="3"/>
      <c r="V15" s="3"/>
      <c r="W15" s="3"/>
      <c r="X15" s="3"/>
      <c r="Y15" s="3"/>
      <c r="Z15" s="3"/>
    </row>
    <row r="16" ht="12.0"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2.0"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2.0"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2.0"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2.0" customHeight="1">
      <c r="A20" s="3"/>
      <c r="B20" s="13"/>
      <c r="C20" s="3"/>
      <c r="D20" s="3"/>
      <c r="E20" s="3"/>
      <c r="F20" s="3"/>
      <c r="G20" s="3"/>
      <c r="H20" s="3"/>
      <c r="I20" s="3"/>
      <c r="J20" s="3"/>
      <c r="K20" s="3"/>
      <c r="L20" s="3"/>
      <c r="M20" s="3"/>
      <c r="N20" s="3"/>
      <c r="O20" s="3"/>
      <c r="P20" s="3"/>
      <c r="Q20" s="3"/>
      <c r="R20" s="3"/>
      <c r="S20" s="3"/>
      <c r="T20" s="3"/>
      <c r="U20" s="3"/>
      <c r="V20" s="3"/>
      <c r="W20" s="3"/>
      <c r="X20" s="3"/>
      <c r="Y20" s="3"/>
      <c r="Z20" s="3"/>
    </row>
    <row r="21" ht="12.0" customHeight="1">
      <c r="A21" s="3"/>
      <c r="B21" s="13"/>
      <c r="C21" s="3"/>
      <c r="D21" s="3"/>
      <c r="E21" s="3"/>
      <c r="F21" s="3"/>
      <c r="G21" s="3"/>
      <c r="H21" s="3"/>
      <c r="I21" s="3"/>
      <c r="J21" s="3"/>
      <c r="K21" s="3"/>
      <c r="L21" s="3"/>
      <c r="M21" s="3"/>
      <c r="N21" s="3"/>
      <c r="O21" s="3"/>
      <c r="P21" s="3"/>
      <c r="Q21" s="3"/>
      <c r="R21" s="3"/>
      <c r="S21" s="3"/>
      <c r="T21" s="3"/>
      <c r="U21" s="3"/>
      <c r="V21" s="3"/>
      <c r="W21" s="3"/>
      <c r="X21" s="3"/>
      <c r="Y21" s="3"/>
      <c r="Z21" s="3"/>
    </row>
    <row r="22" ht="12.0" customHeight="1">
      <c r="A22" s="3"/>
      <c r="B22" s="13"/>
      <c r="C22" s="3"/>
      <c r="D22" s="3"/>
      <c r="E22" s="3"/>
      <c r="F22" s="3"/>
      <c r="G22" s="3"/>
      <c r="H22" s="3"/>
      <c r="I22" s="3"/>
      <c r="J22" s="3"/>
      <c r="K22" s="3"/>
      <c r="L22" s="3"/>
      <c r="M22" s="3"/>
      <c r="N22" s="3"/>
      <c r="O22" s="3"/>
      <c r="P22" s="3"/>
      <c r="Q22" s="3"/>
      <c r="R22" s="3"/>
      <c r="S22" s="3"/>
      <c r="T22" s="3"/>
      <c r="U22" s="3"/>
      <c r="V22" s="3"/>
      <c r="W22" s="3"/>
      <c r="X22" s="3"/>
      <c r="Y22" s="3"/>
      <c r="Z22" s="3"/>
    </row>
    <row r="23" ht="12.0" customHeight="1">
      <c r="A23" s="3"/>
      <c r="B23" s="13"/>
      <c r="C23" s="3"/>
      <c r="D23" s="3"/>
      <c r="E23" s="3"/>
      <c r="F23" s="3"/>
      <c r="G23" s="3"/>
      <c r="H23" s="3"/>
      <c r="I23" s="3"/>
      <c r="J23" s="3"/>
      <c r="K23" s="3"/>
      <c r="L23" s="3"/>
      <c r="M23" s="3"/>
      <c r="N23" s="3"/>
      <c r="O23" s="3"/>
      <c r="P23" s="3"/>
      <c r="Q23" s="3"/>
      <c r="R23" s="3"/>
      <c r="S23" s="3"/>
      <c r="T23" s="3"/>
      <c r="U23" s="3"/>
      <c r="V23" s="3"/>
      <c r="W23" s="3"/>
      <c r="X23" s="3"/>
      <c r="Y23" s="3"/>
      <c r="Z23" s="3"/>
    </row>
    <row r="24" ht="12.0" customHeight="1">
      <c r="A24" s="3"/>
      <c r="B24" s="13"/>
      <c r="C24" s="3"/>
      <c r="D24" s="3"/>
      <c r="E24" s="3"/>
      <c r="F24" s="3"/>
      <c r="G24" s="3"/>
      <c r="H24" s="3"/>
      <c r="I24" s="3"/>
      <c r="J24" s="3"/>
      <c r="K24" s="3"/>
      <c r="L24" s="3"/>
      <c r="M24" s="3"/>
      <c r="N24" s="3"/>
      <c r="O24" s="3"/>
      <c r="P24" s="3"/>
      <c r="Q24" s="3"/>
      <c r="R24" s="3"/>
      <c r="S24" s="3"/>
      <c r="T24" s="3"/>
      <c r="U24" s="3"/>
      <c r="V24" s="3"/>
      <c r="W24" s="3"/>
      <c r="X24" s="3"/>
      <c r="Y24" s="3"/>
      <c r="Z24" s="3"/>
    </row>
    <row r="25" ht="12.0" customHeight="1">
      <c r="A25" s="3"/>
      <c r="B25" s="13"/>
      <c r="C25" s="3"/>
      <c r="D25" s="3"/>
      <c r="E25" s="3"/>
      <c r="F25" s="3"/>
      <c r="G25" s="3"/>
      <c r="H25" s="3"/>
      <c r="I25" s="3"/>
      <c r="J25" s="3"/>
      <c r="K25" s="3"/>
      <c r="L25" s="3"/>
      <c r="M25" s="3"/>
      <c r="N25" s="3"/>
      <c r="O25" s="3"/>
      <c r="P25" s="3"/>
      <c r="Q25" s="3"/>
      <c r="R25" s="3"/>
      <c r="S25" s="3"/>
      <c r="T25" s="3"/>
      <c r="U25" s="3"/>
      <c r="V25" s="3"/>
      <c r="W25" s="3"/>
      <c r="X25" s="3"/>
      <c r="Y25" s="3"/>
      <c r="Z25" s="3"/>
    </row>
    <row r="26" ht="12.0" customHeight="1">
      <c r="A26" s="3"/>
      <c r="B26" s="13"/>
      <c r="C26" s="3"/>
      <c r="D26" s="3"/>
      <c r="E26" s="3"/>
      <c r="F26" s="3"/>
      <c r="G26" s="3"/>
      <c r="H26" s="3"/>
      <c r="I26" s="3"/>
      <c r="J26" s="3"/>
      <c r="K26" s="3"/>
      <c r="L26" s="3"/>
      <c r="M26" s="3"/>
      <c r="N26" s="3"/>
      <c r="O26" s="3"/>
      <c r="P26" s="3"/>
      <c r="Q26" s="3"/>
      <c r="R26" s="3"/>
      <c r="S26" s="3"/>
      <c r="T26" s="3"/>
      <c r="U26" s="3"/>
      <c r="V26" s="3"/>
      <c r="W26" s="3"/>
      <c r="X26" s="3"/>
      <c r="Y26" s="3"/>
      <c r="Z26" s="3"/>
    </row>
    <row r="27" ht="12.0" customHeight="1">
      <c r="A27" s="3"/>
      <c r="B27" s="13"/>
      <c r="C27" s="3"/>
      <c r="D27" s="3"/>
      <c r="E27" s="3"/>
      <c r="F27" s="3"/>
      <c r="G27" s="3"/>
      <c r="H27" s="3"/>
      <c r="I27" s="3"/>
      <c r="J27" s="3"/>
      <c r="K27" s="3"/>
      <c r="L27" s="3"/>
      <c r="M27" s="3"/>
      <c r="N27" s="3"/>
      <c r="O27" s="3"/>
      <c r="P27" s="3"/>
      <c r="Q27" s="3"/>
      <c r="R27" s="3"/>
      <c r="S27" s="3"/>
      <c r="T27" s="3"/>
      <c r="U27" s="3"/>
      <c r="V27" s="3"/>
      <c r="W27" s="3"/>
      <c r="X27" s="3"/>
      <c r="Y27" s="3"/>
      <c r="Z27" s="3"/>
    </row>
    <row r="28" ht="12.0"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2.0" customHeight="1">
      <c r="A29" s="3"/>
      <c r="B29" s="3"/>
      <c r="C29" s="3"/>
      <c r="D29" s="3" t="s">
        <v>3</v>
      </c>
      <c r="E29" s="3"/>
      <c r="F29" s="3"/>
      <c r="G29" s="3"/>
      <c r="H29" s="3"/>
      <c r="I29" s="3"/>
      <c r="J29" s="3"/>
      <c r="K29" s="3"/>
      <c r="L29" s="3"/>
      <c r="M29" s="3"/>
      <c r="N29" s="3"/>
      <c r="O29" s="3"/>
      <c r="P29" s="3"/>
      <c r="Q29" s="3"/>
      <c r="R29" s="3"/>
      <c r="S29" s="3"/>
      <c r="T29" s="3"/>
      <c r="U29" s="3"/>
      <c r="V29" s="3"/>
      <c r="W29" s="3"/>
      <c r="X29" s="3"/>
      <c r="Y29" s="3"/>
      <c r="Z29" s="3"/>
    </row>
    <row r="30" ht="12.0"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2.0"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2.0"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2.0"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2.0"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2.0"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2.0"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2.0"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2.0"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2.0"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2.0"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2.0"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2.0"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2.0"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2.0"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2.0"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2.0"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2.0"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2.0"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2.0"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2.0"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2.0"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2.0"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2.0"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2.0"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2.0"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2.0"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2.0"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2.0"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2.0"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2.0"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2.0"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2.0"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2.0"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2.0"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2.0"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2.0"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2.0"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2.0"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2.0"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2.0"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2.0"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2.0"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2.0"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2.0"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2.0"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2.0"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2.0"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2.0"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2.0"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2.0"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2.0"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2.0"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2.0"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2.0"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2.0"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2.0"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2.0"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2.0"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2.0"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2.0"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2.0"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2.0"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2.0"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2.0"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2.0"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2.0"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2.0"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2.0"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2.0"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2.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0"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0"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0"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4:C4"/>
    <mergeCell ref="B5:H5"/>
  </mergeCells>
  <hyperlinks>
    <hyperlink display="Monthly GDP Index Commentary" location="Commentary!A1" ref="B6"/>
    <hyperlink display="Data" location="Data!A1" ref="B7"/>
  </hyperlinks>
  <printOptions horizontalCentered="1"/>
  <pageMargins bottom="0.5118110236220472" footer="0.0" header="0.0" left="0.5118110236220472" right="0.5118110236220472" top="0.984251968503937"/>
  <pageSetup paperSize="9" orientation="landscape"/>
  <headerFooter>
    <oddHead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5"/>
    <col customWidth="1" min="2" max="2" width="18.25"/>
    <col customWidth="1" hidden="1" min="3" max="3" width="11.88"/>
    <col customWidth="1" min="4" max="5" width="7.25"/>
    <col customWidth="1" min="6" max="7" width="6.88"/>
    <col customWidth="1" min="8" max="8" width="7.88"/>
    <col customWidth="1" min="9" max="9" width="6.88"/>
    <col customWidth="1" min="10" max="10" width="7.25"/>
    <col customWidth="1" min="11" max="11" width="7.63"/>
    <col customWidth="1" min="12" max="13" width="6.88"/>
    <col customWidth="1" min="14" max="14" width="7.25"/>
    <col customWidth="1" min="15" max="15" width="7.63"/>
    <col customWidth="1" min="16" max="26" width="8.0"/>
  </cols>
  <sheetData>
    <row r="1" ht="5.25" customHeight="1">
      <c r="A1" s="14"/>
      <c r="B1" s="14"/>
      <c r="C1" s="14"/>
      <c r="D1" s="14"/>
      <c r="E1" s="14"/>
      <c r="F1" s="14"/>
      <c r="G1" s="14"/>
      <c r="H1" s="14"/>
      <c r="I1" s="14"/>
      <c r="J1" s="14"/>
      <c r="K1" s="14"/>
      <c r="L1" s="14"/>
      <c r="M1" s="14"/>
      <c r="N1" s="14"/>
      <c r="O1" s="14"/>
      <c r="P1" s="14"/>
      <c r="Q1" s="14"/>
      <c r="R1" s="14"/>
      <c r="S1" s="14"/>
      <c r="T1" s="14"/>
      <c r="U1" s="14"/>
      <c r="V1" s="14"/>
      <c r="W1" s="14"/>
      <c r="X1" s="14"/>
      <c r="Y1" s="14"/>
      <c r="Z1" s="14"/>
    </row>
    <row r="2" ht="34.5" customHeight="1">
      <c r="A2" s="14"/>
      <c r="B2" s="15" t="s">
        <v>4</v>
      </c>
      <c r="C2" s="14"/>
      <c r="D2" s="14"/>
      <c r="E2" s="14"/>
      <c r="F2" s="14"/>
      <c r="G2" s="14"/>
      <c r="H2" s="16"/>
      <c r="I2" s="14"/>
      <c r="J2" s="14"/>
      <c r="K2" s="14"/>
      <c r="L2" s="14"/>
      <c r="M2" s="14"/>
      <c r="N2" s="14"/>
      <c r="O2" s="17"/>
      <c r="P2" s="14"/>
      <c r="Q2" s="14"/>
      <c r="R2" s="14"/>
      <c r="S2" s="14"/>
      <c r="T2" s="14"/>
      <c r="U2" s="14"/>
      <c r="V2" s="14"/>
      <c r="W2" s="14"/>
      <c r="X2" s="14"/>
      <c r="Y2" s="14"/>
      <c r="Z2" s="14"/>
    </row>
    <row r="3" ht="1.5" customHeight="1">
      <c r="A3" s="14"/>
      <c r="B3" s="14"/>
      <c r="C3" s="14"/>
      <c r="D3" s="14"/>
      <c r="E3" s="18"/>
      <c r="F3" s="18"/>
      <c r="G3" s="19"/>
      <c r="H3" s="20"/>
      <c r="I3" s="20"/>
      <c r="J3" s="20"/>
      <c r="K3" s="14"/>
      <c r="L3" s="14"/>
      <c r="M3" s="14"/>
      <c r="N3" s="14"/>
      <c r="P3" s="14"/>
      <c r="Q3" s="14"/>
      <c r="R3" s="14"/>
      <c r="S3" s="14"/>
      <c r="T3" s="14"/>
      <c r="U3" s="14"/>
      <c r="V3" s="14"/>
      <c r="W3" s="14"/>
      <c r="X3" s="14"/>
      <c r="Y3" s="14"/>
      <c r="Z3" s="14"/>
    </row>
    <row r="4" ht="15.0" customHeight="1">
      <c r="A4" s="21"/>
      <c r="B4" s="22">
        <f>NOW()</f>
        <v>45611.44247</v>
      </c>
      <c r="P4" s="21"/>
      <c r="Q4" s="21"/>
      <c r="R4" s="21"/>
      <c r="S4" s="21"/>
      <c r="T4" s="21"/>
      <c r="U4" s="21"/>
      <c r="V4" s="21"/>
      <c r="W4" s="21"/>
      <c r="X4" s="21"/>
      <c r="Y4" s="21"/>
      <c r="Z4" s="21"/>
    </row>
    <row r="5" ht="1.5" customHeight="1">
      <c r="A5" s="14"/>
      <c r="B5" s="14"/>
      <c r="C5" s="14"/>
      <c r="D5" s="14"/>
      <c r="E5" s="14"/>
      <c r="F5" s="14"/>
      <c r="G5" s="14"/>
      <c r="H5" s="14"/>
      <c r="I5" s="14"/>
      <c r="J5" s="14"/>
      <c r="K5" s="14"/>
      <c r="L5" s="14"/>
      <c r="M5" s="14"/>
      <c r="N5" s="14"/>
      <c r="O5" s="14"/>
      <c r="P5" s="14"/>
      <c r="Q5" s="14"/>
      <c r="R5" s="14"/>
      <c r="S5" s="14"/>
      <c r="T5" s="14"/>
      <c r="U5" s="14"/>
      <c r="V5" s="14"/>
      <c r="W5" s="14"/>
      <c r="X5" s="14"/>
      <c r="Y5" s="14"/>
      <c r="Z5" s="14"/>
    </row>
    <row r="6" ht="3.75" customHeight="1">
      <c r="A6" s="14"/>
      <c r="B6" s="14"/>
      <c r="C6" s="23"/>
      <c r="D6" s="23"/>
      <c r="E6" s="23"/>
      <c r="F6" s="14"/>
      <c r="G6" s="14"/>
      <c r="H6" s="24"/>
      <c r="I6" s="25"/>
      <c r="J6" s="25"/>
      <c r="K6" s="25"/>
      <c r="L6" s="25"/>
      <c r="M6" s="26"/>
      <c r="N6" s="26"/>
      <c r="O6" s="26"/>
      <c r="P6" s="14"/>
      <c r="Q6" s="14"/>
      <c r="R6" s="14"/>
      <c r="S6" s="14"/>
      <c r="T6" s="14"/>
      <c r="U6" s="14"/>
      <c r="V6" s="14"/>
      <c r="W6" s="14"/>
      <c r="X6" s="14"/>
      <c r="Y6" s="14"/>
      <c r="Z6" s="14"/>
    </row>
    <row r="7" ht="1.5" customHeight="1">
      <c r="A7" s="14"/>
      <c r="B7" s="27"/>
      <c r="C7" s="27"/>
      <c r="D7" s="27"/>
      <c r="E7" s="27"/>
      <c r="F7" s="27"/>
      <c r="G7" s="27"/>
      <c r="H7" s="27"/>
      <c r="I7" s="27"/>
      <c r="J7" s="27"/>
      <c r="K7" s="27"/>
      <c r="L7" s="27"/>
      <c r="M7" s="27"/>
      <c r="N7" s="27"/>
      <c r="O7" s="27"/>
      <c r="P7" s="14"/>
      <c r="Q7" s="14"/>
      <c r="R7" s="14"/>
      <c r="S7" s="14"/>
      <c r="T7" s="14"/>
      <c r="U7" s="14"/>
      <c r="V7" s="14"/>
      <c r="W7" s="14"/>
      <c r="X7" s="14"/>
      <c r="Y7" s="14"/>
      <c r="Z7" s="14"/>
    </row>
    <row r="8" ht="12.0" customHeight="1">
      <c r="A8" s="14"/>
      <c r="B8" s="28"/>
      <c r="C8" s="29">
        <v>45170.0</v>
      </c>
      <c r="D8" s="30">
        <v>45200.0</v>
      </c>
      <c r="E8" s="30">
        <v>45231.0</v>
      </c>
      <c r="F8" s="30">
        <v>45261.0</v>
      </c>
      <c r="G8" s="30">
        <v>45292.0</v>
      </c>
      <c r="H8" s="30">
        <v>45323.0</v>
      </c>
      <c r="I8" s="30">
        <v>45352.0</v>
      </c>
      <c r="J8" s="30">
        <v>45383.0</v>
      </c>
      <c r="K8" s="30">
        <v>45413.0</v>
      </c>
      <c r="L8" s="30">
        <v>45444.0</v>
      </c>
      <c r="M8" s="30">
        <v>45474.0</v>
      </c>
      <c r="N8" s="30">
        <v>45505.0</v>
      </c>
      <c r="O8" s="30">
        <v>45536.0</v>
      </c>
      <c r="P8" s="14"/>
      <c r="Q8" s="14"/>
      <c r="R8" s="14"/>
      <c r="S8" s="14"/>
      <c r="T8" s="14"/>
      <c r="U8" s="14"/>
      <c r="V8" s="14"/>
      <c r="W8" s="14"/>
      <c r="X8" s="14"/>
      <c r="Y8" s="14"/>
      <c r="Z8" s="14"/>
    </row>
    <row r="9" ht="12.0" customHeight="1">
      <c r="A9" s="14"/>
      <c r="B9" s="31" t="s">
        <v>5</v>
      </c>
      <c r="C9" s="32">
        <v>22828.2084270787</v>
      </c>
      <c r="D9" s="33">
        <v>22801.215132223</v>
      </c>
      <c r="E9" s="33">
        <v>22925.2487009444</v>
      </c>
      <c r="F9" s="33">
        <v>23160.0582046388</v>
      </c>
      <c r="G9" s="33">
        <v>22957.4227084468</v>
      </c>
      <c r="H9" s="33">
        <v>23107.4330723035</v>
      </c>
      <c r="I9" s="33">
        <v>23100.5494213</v>
      </c>
      <c r="J9" s="33">
        <v>23165.93426737338</v>
      </c>
      <c r="K9" s="33">
        <v>23248.626350368733</v>
      </c>
      <c r="L9" s="33">
        <v>23261.86138209993</v>
      </c>
      <c r="M9" s="33">
        <v>23385.227069701825</v>
      </c>
      <c r="N9" s="33">
        <v>23427.12972724008</v>
      </c>
      <c r="O9" s="33">
        <v>23357.707758799592</v>
      </c>
      <c r="P9" s="14"/>
      <c r="Q9" s="14"/>
      <c r="R9" s="14"/>
      <c r="S9" s="14"/>
      <c r="T9" s="14"/>
      <c r="U9" s="14"/>
      <c r="V9" s="14"/>
      <c r="W9" s="14"/>
      <c r="X9" s="14"/>
      <c r="Y9" s="14"/>
      <c r="Z9" s="14"/>
    </row>
    <row r="10" ht="12.0" customHeight="1">
      <c r="A10" s="14"/>
      <c r="B10" s="34" t="s">
        <v>6</v>
      </c>
      <c r="C10" s="21"/>
      <c r="D10" s="35">
        <v>-0.11824534957234345</v>
      </c>
      <c r="E10" s="35">
        <v>0.5439778889069657</v>
      </c>
      <c r="F10" s="35">
        <v>1.024239722575948</v>
      </c>
      <c r="G10" s="35">
        <v>-0.8749351767665892</v>
      </c>
      <c r="H10" s="35">
        <v>0.6534285915356763</v>
      </c>
      <c r="I10" s="35">
        <v>-0.02978976930047006</v>
      </c>
      <c r="J10" s="35">
        <v>0.2830445496378342</v>
      </c>
      <c r="K10" s="35">
        <v>0.3569555280652503</v>
      </c>
      <c r="L10" s="35">
        <v>0.05692823107799061</v>
      </c>
      <c r="M10" s="35">
        <v>0.530334548794209</v>
      </c>
      <c r="N10" s="35">
        <v>0.17918430902279514</v>
      </c>
      <c r="O10" s="35">
        <v>-0.29633151499462995</v>
      </c>
      <c r="P10" s="14"/>
      <c r="Q10" s="14"/>
      <c r="R10" s="14"/>
      <c r="S10" s="14"/>
      <c r="T10" s="14"/>
      <c r="U10" s="14"/>
      <c r="V10" s="14"/>
      <c r="W10" s="14"/>
      <c r="X10" s="14"/>
      <c r="Y10" s="14"/>
      <c r="Z10" s="14"/>
    </row>
    <row r="11" ht="12.0" customHeight="1">
      <c r="A11" s="14"/>
      <c r="B11" s="34" t="s">
        <v>7</v>
      </c>
      <c r="C11" s="14"/>
      <c r="D11" s="35">
        <v>-1.4097523755472463</v>
      </c>
      <c r="E11" s="35">
        <v>6.7266216036462545</v>
      </c>
      <c r="F11" s="35">
        <v>13.007453614586684</v>
      </c>
      <c r="G11" s="35">
        <v>-10.008433440809894</v>
      </c>
      <c r="H11" s="35">
        <v>8.129171640280418</v>
      </c>
      <c r="I11" s="35">
        <v>-0.35689210878132593</v>
      </c>
      <c r="J11" s="35">
        <v>3.449912040049541</v>
      </c>
      <c r="K11" s="35">
        <v>4.368570414036577</v>
      </c>
      <c r="L11" s="35">
        <v>0.6852817805210965</v>
      </c>
      <c r="M11" s="35">
        <v>6.552963700900016</v>
      </c>
      <c r="N11" s="35">
        <v>2.171529418590379</v>
      </c>
      <c r="O11" s="35">
        <v>-3.4985906935225075</v>
      </c>
      <c r="P11" s="14"/>
      <c r="Q11" s="14"/>
      <c r="R11" s="14"/>
      <c r="S11" s="14"/>
      <c r="T11" s="14"/>
      <c r="U11" s="14"/>
      <c r="V11" s="14"/>
      <c r="W11" s="14"/>
      <c r="X11" s="14"/>
      <c r="Y11" s="14"/>
      <c r="Z11" s="14"/>
    </row>
    <row r="12" ht="12.0" customHeight="1">
      <c r="A12" s="14"/>
      <c r="B12" s="36"/>
      <c r="C12" s="14"/>
      <c r="D12" s="37"/>
      <c r="E12" s="37"/>
      <c r="F12" s="37"/>
      <c r="G12" s="37"/>
      <c r="H12" s="37"/>
      <c r="I12" s="37"/>
      <c r="J12" s="37"/>
      <c r="K12" s="37"/>
      <c r="L12" s="37"/>
      <c r="M12" s="37"/>
      <c r="N12" s="37"/>
      <c r="O12" s="37"/>
      <c r="P12" s="14"/>
      <c r="Q12" s="14"/>
      <c r="R12" s="14"/>
      <c r="S12" s="14"/>
      <c r="T12" s="14"/>
      <c r="U12" s="14"/>
      <c r="V12" s="14"/>
      <c r="W12" s="14"/>
      <c r="X12" s="14"/>
      <c r="Y12" s="14"/>
      <c r="Z12" s="14"/>
    </row>
    <row r="13" ht="12.0" customHeight="1">
      <c r="A13" s="14"/>
      <c r="B13" s="38" t="s">
        <v>8</v>
      </c>
      <c r="H13" s="39" t="s">
        <v>9</v>
      </c>
      <c r="I13" s="40"/>
      <c r="J13" s="40"/>
      <c r="K13" s="40"/>
      <c r="L13" s="40"/>
      <c r="M13" s="40"/>
      <c r="N13" s="40"/>
      <c r="O13" s="40"/>
      <c r="P13" s="14"/>
      <c r="Q13" s="14"/>
      <c r="R13" s="14"/>
      <c r="S13" s="14"/>
      <c r="T13" s="14"/>
      <c r="U13" s="14"/>
      <c r="V13" s="14"/>
      <c r="W13" s="14"/>
      <c r="X13" s="14"/>
      <c r="Y13" s="14"/>
      <c r="Z13" s="14"/>
    </row>
    <row r="14" ht="12.0" customHeight="1">
      <c r="A14" s="14"/>
      <c r="B14" s="28"/>
      <c r="C14" s="14"/>
      <c r="D14" s="41">
        <v>45474.0</v>
      </c>
      <c r="E14" s="41">
        <v>45505.0</v>
      </c>
      <c r="F14" s="41">
        <v>45536.0</v>
      </c>
      <c r="G14" s="42"/>
      <c r="H14" s="14"/>
      <c r="I14" s="14"/>
      <c r="J14" s="14"/>
      <c r="K14" s="14"/>
      <c r="L14" s="14"/>
      <c r="M14" s="14"/>
      <c r="N14" s="14"/>
      <c r="O14" s="14"/>
      <c r="P14" s="14"/>
      <c r="Q14" s="14"/>
      <c r="R14" s="14"/>
      <c r="S14" s="14"/>
      <c r="T14" s="14"/>
      <c r="U14" s="14"/>
      <c r="V14" s="14"/>
      <c r="W14" s="14"/>
      <c r="X14" s="14"/>
      <c r="Y14" s="14"/>
      <c r="Z14" s="14"/>
    </row>
    <row r="15" ht="12.0" customHeight="1">
      <c r="A15" s="14"/>
      <c r="B15" s="21" t="s">
        <v>10</v>
      </c>
      <c r="C15" s="14"/>
      <c r="D15" s="37">
        <v>6.552963700900016</v>
      </c>
      <c r="E15" s="37">
        <v>2.171529418590379</v>
      </c>
      <c r="F15" s="37">
        <v>-3.4985906935225075</v>
      </c>
      <c r="G15" s="37"/>
      <c r="H15" s="14"/>
      <c r="I15" s="14"/>
      <c r="J15" s="14"/>
      <c r="K15" s="14"/>
      <c r="L15" s="14"/>
      <c r="M15" s="14"/>
      <c r="N15" s="14"/>
      <c r="O15" s="14"/>
      <c r="P15" s="14"/>
      <c r="Q15" s="14"/>
      <c r="R15" s="14"/>
      <c r="S15" s="14"/>
      <c r="T15" s="14"/>
      <c r="U15" s="14"/>
      <c r="V15" s="14"/>
      <c r="W15" s="14"/>
      <c r="X15" s="14"/>
      <c r="Y15" s="14"/>
      <c r="Z15" s="14"/>
    </row>
    <row r="16" ht="12.0" customHeight="1">
      <c r="A16" s="14"/>
      <c r="B16" s="21" t="s">
        <v>11</v>
      </c>
      <c r="C16" s="14"/>
      <c r="D16" s="37">
        <v>4.460621981469405</v>
      </c>
      <c r="E16" s="37">
        <v>3.47467314595892</v>
      </c>
      <c r="F16" s="37">
        <v>-2.3739427609256705</v>
      </c>
      <c r="G16" s="14"/>
      <c r="H16" s="14"/>
      <c r="I16" s="14"/>
      <c r="J16" s="14"/>
      <c r="K16" s="14"/>
      <c r="L16" s="14"/>
      <c r="M16" s="14"/>
      <c r="N16" s="14"/>
      <c r="O16" s="14"/>
      <c r="P16" s="14"/>
      <c r="Q16" s="14"/>
      <c r="R16" s="14"/>
      <c r="S16" s="14"/>
      <c r="T16" s="14"/>
      <c r="U16" s="14"/>
      <c r="V16" s="14"/>
      <c r="W16" s="14"/>
      <c r="X16" s="14"/>
      <c r="Y16" s="14"/>
      <c r="Z16" s="14"/>
    </row>
    <row r="17" ht="12.0" customHeight="1">
      <c r="A17" s="14"/>
      <c r="B17" s="21" t="s">
        <v>12</v>
      </c>
      <c r="C17" s="14"/>
      <c r="D17" s="37">
        <v>7.78405038858475</v>
      </c>
      <c r="E17" s="37">
        <v>-1.772127822910583</v>
      </c>
      <c r="F17" s="37">
        <v>3.5645819644881183</v>
      </c>
      <c r="G17" s="37"/>
      <c r="H17" s="14"/>
      <c r="I17" s="14"/>
      <c r="J17" s="14"/>
      <c r="K17" s="14"/>
      <c r="L17" s="14"/>
      <c r="M17" s="14"/>
      <c r="N17" s="14"/>
      <c r="O17" s="14"/>
      <c r="P17" s="14"/>
      <c r="Q17" s="14"/>
      <c r="R17" s="14"/>
      <c r="S17" s="14"/>
      <c r="T17" s="14"/>
      <c r="U17" s="14"/>
      <c r="V17" s="14"/>
      <c r="W17" s="14"/>
      <c r="X17" s="14"/>
      <c r="Y17" s="14"/>
      <c r="Z17" s="14"/>
    </row>
    <row r="18" ht="12.0" customHeight="1">
      <c r="A18" s="14"/>
      <c r="B18" s="21" t="s">
        <v>13</v>
      </c>
      <c r="C18" s="14"/>
      <c r="D18" s="37">
        <v>3.4699227304768256</v>
      </c>
      <c r="E18" s="37">
        <v>1.344124242839467</v>
      </c>
      <c r="F18" s="37">
        <v>2.893709485488751</v>
      </c>
      <c r="G18" s="37"/>
      <c r="H18" s="14"/>
      <c r="I18" s="14"/>
      <c r="J18" s="14"/>
      <c r="K18" s="14"/>
      <c r="L18" s="14"/>
      <c r="M18" s="14"/>
      <c r="N18" s="14"/>
      <c r="O18" s="14"/>
      <c r="P18" s="14"/>
      <c r="Q18" s="14"/>
      <c r="R18" s="14"/>
      <c r="S18" s="14"/>
      <c r="T18" s="14"/>
      <c r="U18" s="14"/>
      <c r="V18" s="14"/>
      <c r="W18" s="14"/>
      <c r="X18" s="14"/>
      <c r="Y18" s="14"/>
      <c r="Z18" s="14"/>
    </row>
    <row r="19" ht="12.0" customHeight="1">
      <c r="A19" s="14"/>
      <c r="B19" s="21" t="s">
        <v>14</v>
      </c>
      <c r="C19" s="14"/>
      <c r="D19" s="37">
        <v>3.791419830058749</v>
      </c>
      <c r="E19" s="37">
        <v>-2.8319074102260724</v>
      </c>
      <c r="F19" s="37">
        <v>0.7134881139592322</v>
      </c>
      <c r="G19" s="37"/>
      <c r="H19" s="14"/>
      <c r="I19" s="14"/>
      <c r="J19" s="14"/>
      <c r="K19" s="14"/>
      <c r="L19" s="14"/>
      <c r="M19" s="14"/>
      <c r="N19" s="14"/>
      <c r="O19" s="14"/>
      <c r="P19" s="14"/>
      <c r="Q19" s="14"/>
      <c r="R19" s="14"/>
      <c r="S19" s="14"/>
      <c r="T19" s="14"/>
      <c r="U19" s="14"/>
      <c r="V19" s="14"/>
      <c r="W19" s="14"/>
      <c r="X19" s="14"/>
      <c r="Y19" s="14"/>
      <c r="Z19" s="14"/>
    </row>
    <row r="20" ht="12.0" customHeight="1">
      <c r="A20" s="14"/>
      <c r="B20" s="21" t="s">
        <v>15</v>
      </c>
      <c r="C20" s="14"/>
      <c r="D20" s="37">
        <v>0.2399059675929867</v>
      </c>
      <c r="E20" s="37">
        <v>-0.04017403027631257</v>
      </c>
      <c r="F20" s="37">
        <v>0.14376998875655514</v>
      </c>
      <c r="G20" s="37"/>
      <c r="H20" s="14"/>
      <c r="I20" s="14"/>
      <c r="J20" s="14"/>
      <c r="K20" s="14"/>
      <c r="L20" s="14"/>
      <c r="M20" s="14"/>
      <c r="N20" s="14"/>
      <c r="O20" s="14"/>
      <c r="P20" s="14"/>
      <c r="Q20" s="14"/>
      <c r="R20" s="14"/>
      <c r="S20" s="14"/>
      <c r="T20" s="14"/>
      <c r="U20" s="14"/>
      <c r="V20" s="14"/>
      <c r="W20" s="14"/>
      <c r="X20" s="14"/>
      <c r="Y20" s="14"/>
      <c r="Z20" s="14"/>
    </row>
    <row r="21" ht="12.0" customHeight="1">
      <c r="A21" s="14"/>
      <c r="B21" s="21" t="s">
        <v>16</v>
      </c>
      <c r="C21" s="14"/>
      <c r="D21" s="37">
        <v>0.36752446759807067</v>
      </c>
      <c r="E21" s="37">
        <v>0.011376959583979565</v>
      </c>
      <c r="F21" s="37">
        <v>0.0677333869271815</v>
      </c>
      <c r="G21" s="37"/>
      <c r="H21" s="14"/>
      <c r="I21" s="14"/>
      <c r="J21" s="14"/>
      <c r="K21" s="14"/>
      <c r="L21" s="14"/>
      <c r="M21" s="14"/>
      <c r="N21" s="14"/>
      <c r="O21" s="14"/>
      <c r="P21" s="14"/>
      <c r="Q21" s="14"/>
      <c r="R21" s="14"/>
      <c r="S21" s="14"/>
      <c r="T21" s="14"/>
      <c r="U21" s="14"/>
      <c r="V21" s="14"/>
      <c r="W21" s="14"/>
      <c r="X21" s="14"/>
      <c r="Y21" s="14"/>
      <c r="Z21" s="14"/>
    </row>
    <row r="22" ht="12.0" customHeight="1">
      <c r="A22" s="14"/>
      <c r="B22" s="21" t="s">
        <v>17</v>
      </c>
      <c r="C22" s="14"/>
      <c r="D22" s="37">
        <v>-0.08472260714188165</v>
      </c>
      <c r="E22" s="37">
        <v>-0.2555475848316448</v>
      </c>
      <c r="F22" s="37">
        <v>-0.25411901064360143</v>
      </c>
      <c r="G22" s="37"/>
      <c r="H22" s="14"/>
      <c r="I22" s="14"/>
      <c r="J22" s="14"/>
      <c r="K22" s="14"/>
      <c r="L22" s="14"/>
      <c r="M22" s="14"/>
      <c r="N22" s="14"/>
      <c r="O22" s="14"/>
      <c r="P22" s="14"/>
      <c r="Q22" s="14"/>
      <c r="R22" s="14"/>
      <c r="S22" s="14"/>
      <c r="T22" s="14"/>
      <c r="U22" s="14"/>
      <c r="V22" s="14"/>
      <c r="W22" s="14"/>
      <c r="X22" s="14"/>
      <c r="Y22" s="14"/>
      <c r="Z22" s="14"/>
    </row>
    <row r="23" ht="12.0" customHeight="1">
      <c r="A23" s="14"/>
      <c r="B23" s="21" t="s">
        <v>18</v>
      </c>
      <c r="C23" s="14"/>
      <c r="D23" s="37">
        <v>-3.323428407115345</v>
      </c>
      <c r="E23" s="37">
        <v>5.246800968869503</v>
      </c>
      <c r="F23" s="37">
        <v>-5.938524725413789</v>
      </c>
      <c r="G23" s="37"/>
      <c r="P23" s="14"/>
      <c r="Q23" s="14"/>
      <c r="R23" s="14"/>
      <c r="S23" s="14"/>
      <c r="T23" s="14"/>
      <c r="U23" s="14"/>
      <c r="V23" s="14"/>
      <c r="W23" s="14"/>
      <c r="X23" s="14"/>
      <c r="Y23" s="14"/>
      <c r="Z23" s="14"/>
    </row>
    <row r="24" ht="12.0" customHeight="1">
      <c r="A24" s="14"/>
      <c r="B24" s="43" t="s">
        <v>19</v>
      </c>
      <c r="C24" s="28"/>
      <c r="D24" s="44">
        <v>2.0923417194306086</v>
      </c>
      <c r="E24" s="44">
        <v>-1.303143727368542</v>
      </c>
      <c r="F24" s="44">
        <v>-1.1246479325969694</v>
      </c>
      <c r="G24" s="37"/>
      <c r="H24" s="14"/>
      <c r="I24" s="14"/>
      <c r="J24" s="14"/>
      <c r="K24" s="14"/>
      <c r="L24" s="14"/>
      <c r="M24" s="14"/>
      <c r="N24" s="14"/>
      <c r="O24" s="14"/>
      <c r="P24" s="14"/>
      <c r="Q24" s="14"/>
      <c r="R24" s="14"/>
      <c r="S24" s="14"/>
      <c r="T24" s="14"/>
      <c r="U24" s="14"/>
      <c r="V24" s="14"/>
      <c r="W24" s="14"/>
      <c r="X24" s="14"/>
      <c r="Y24" s="14"/>
      <c r="Z24" s="14"/>
    </row>
    <row r="25" ht="12.0" customHeight="1">
      <c r="A25" s="14"/>
      <c r="B25" s="21"/>
      <c r="C25" s="14"/>
      <c r="D25" s="14"/>
      <c r="E25" s="14"/>
      <c r="F25" s="14"/>
      <c r="G25" s="14"/>
      <c r="H25" s="14"/>
      <c r="I25" s="14"/>
      <c r="J25" s="14"/>
      <c r="K25" s="14"/>
      <c r="L25" s="14"/>
      <c r="M25" s="14"/>
      <c r="N25" s="14"/>
      <c r="O25" s="14"/>
      <c r="P25" s="14"/>
      <c r="Q25" s="14"/>
      <c r="R25" s="14"/>
      <c r="S25" s="14"/>
      <c r="T25" s="14"/>
      <c r="U25" s="14"/>
      <c r="V25" s="14"/>
      <c r="W25" s="14"/>
      <c r="X25" s="14"/>
      <c r="Y25" s="14"/>
      <c r="Z25" s="14"/>
    </row>
    <row r="26" ht="12.0" customHeight="1">
      <c r="A26" s="14"/>
      <c r="B26" s="38" t="s">
        <v>8</v>
      </c>
      <c r="G26" s="14"/>
      <c r="H26" s="37"/>
      <c r="I26" s="14"/>
      <c r="J26" s="14"/>
      <c r="K26" s="14"/>
      <c r="L26" s="14"/>
      <c r="M26" s="14"/>
      <c r="N26" s="14"/>
      <c r="O26" s="14"/>
      <c r="P26" s="14"/>
      <c r="Q26" s="14"/>
      <c r="R26" s="14"/>
      <c r="S26" s="14"/>
      <c r="T26" s="14"/>
      <c r="U26" s="14"/>
      <c r="V26" s="14"/>
      <c r="W26" s="14"/>
      <c r="X26" s="14"/>
      <c r="Y26" s="14"/>
      <c r="Z26" s="14"/>
    </row>
    <row r="27" ht="12.0" customHeight="1">
      <c r="A27" s="14"/>
      <c r="B27" s="45"/>
      <c r="C27" s="46"/>
      <c r="D27" s="46"/>
      <c r="E27" s="46"/>
      <c r="F27" s="46"/>
      <c r="G27" s="14"/>
      <c r="H27" s="14"/>
      <c r="I27" s="14"/>
      <c r="J27" s="14"/>
      <c r="K27" s="14"/>
      <c r="L27" s="14"/>
      <c r="M27" s="14"/>
      <c r="N27" s="14"/>
      <c r="O27" s="14"/>
      <c r="P27" s="14"/>
      <c r="Q27" s="14"/>
      <c r="R27" s="14"/>
      <c r="S27" s="14"/>
      <c r="T27" s="14"/>
      <c r="U27" s="14"/>
      <c r="V27" s="14"/>
      <c r="W27" s="14"/>
      <c r="X27" s="14"/>
      <c r="Y27" s="14"/>
      <c r="Z27" s="14"/>
    </row>
    <row r="28" ht="12.0" customHeight="1">
      <c r="A28" s="14"/>
      <c r="B28" s="47"/>
      <c r="C28" s="48"/>
      <c r="D28" s="48"/>
      <c r="E28" s="48"/>
      <c r="F28" s="49"/>
      <c r="G28" s="14"/>
      <c r="H28" s="14"/>
      <c r="I28" s="14"/>
      <c r="J28" s="14"/>
      <c r="K28" s="14"/>
      <c r="L28" s="14"/>
      <c r="M28" s="14"/>
      <c r="N28" s="14"/>
      <c r="O28" s="14"/>
      <c r="P28" s="14"/>
      <c r="Q28" s="14"/>
      <c r="R28" s="14"/>
      <c r="S28" s="14"/>
      <c r="T28" s="14"/>
      <c r="U28" s="14"/>
      <c r="V28" s="14"/>
      <c r="W28" s="14"/>
      <c r="X28" s="14"/>
      <c r="Y28" s="14"/>
      <c r="Z28" s="14"/>
    </row>
    <row r="29" ht="12.0" customHeight="1">
      <c r="A29" s="14"/>
      <c r="B29" s="46"/>
      <c r="C29" s="46"/>
      <c r="D29" s="46"/>
      <c r="E29" s="46"/>
      <c r="F29" s="46"/>
      <c r="G29" s="14"/>
      <c r="H29" s="14"/>
      <c r="I29" s="14"/>
      <c r="J29" s="14"/>
      <c r="K29" s="14"/>
      <c r="L29" s="14"/>
      <c r="M29" s="14"/>
      <c r="N29" s="14"/>
      <c r="O29" s="14"/>
      <c r="P29" s="14"/>
      <c r="Q29" s="14"/>
      <c r="R29" s="14"/>
      <c r="S29" s="14"/>
      <c r="T29" s="14"/>
      <c r="U29" s="14"/>
      <c r="V29" s="14"/>
      <c r="W29" s="14"/>
      <c r="X29" s="14"/>
      <c r="Y29" s="14"/>
      <c r="Z29" s="14"/>
    </row>
    <row r="30" ht="12.0" customHeight="1">
      <c r="A30" s="14"/>
      <c r="B30" s="46"/>
      <c r="C30" s="46"/>
      <c r="D30" s="46"/>
      <c r="E30" s="46"/>
      <c r="F30" s="46"/>
      <c r="G30" s="14"/>
      <c r="H30" s="14"/>
      <c r="I30" s="14"/>
      <c r="J30" s="14"/>
      <c r="K30" s="14"/>
      <c r="L30" s="14"/>
      <c r="M30" s="14"/>
      <c r="N30" s="14"/>
      <c r="O30" s="14"/>
      <c r="P30" s="14"/>
      <c r="Q30" s="14"/>
      <c r="R30" s="14"/>
      <c r="S30" s="14"/>
      <c r="T30" s="14"/>
      <c r="U30" s="14"/>
      <c r="V30" s="14"/>
      <c r="W30" s="14"/>
      <c r="X30" s="14"/>
      <c r="Y30" s="14"/>
      <c r="Z30" s="14"/>
    </row>
    <row r="31" ht="12.0" customHeight="1">
      <c r="A31" s="14"/>
      <c r="B31" s="46"/>
      <c r="C31" s="46"/>
      <c r="D31" s="46"/>
      <c r="E31" s="46"/>
      <c r="F31" s="46"/>
      <c r="G31" s="14"/>
      <c r="H31" s="14"/>
      <c r="I31" s="14"/>
      <c r="J31" s="14"/>
      <c r="K31" s="14"/>
      <c r="L31" s="14"/>
      <c r="M31" s="14"/>
      <c r="N31" s="14"/>
      <c r="O31" s="14"/>
      <c r="P31" s="14"/>
      <c r="Q31" s="14"/>
      <c r="R31" s="14"/>
      <c r="S31" s="14"/>
      <c r="T31" s="14"/>
      <c r="U31" s="14"/>
      <c r="V31" s="14"/>
      <c r="W31" s="14"/>
      <c r="X31" s="14"/>
      <c r="Y31" s="14"/>
      <c r="Z31" s="14"/>
    </row>
    <row r="32" ht="12.0" customHeight="1">
      <c r="A32" s="14"/>
      <c r="B32" s="46"/>
      <c r="C32" s="46"/>
      <c r="D32" s="46"/>
      <c r="E32" s="46"/>
      <c r="F32" s="46"/>
      <c r="G32" s="14"/>
      <c r="H32" s="14"/>
      <c r="I32" s="14"/>
      <c r="J32" s="14"/>
      <c r="K32" s="14"/>
      <c r="L32" s="14"/>
      <c r="M32" s="14"/>
      <c r="N32" s="14"/>
      <c r="O32" s="14"/>
      <c r="P32" s="14"/>
      <c r="Q32" s="14"/>
      <c r="R32" s="14"/>
      <c r="S32" s="14"/>
      <c r="T32" s="14"/>
      <c r="U32" s="14"/>
      <c r="V32" s="14"/>
      <c r="W32" s="14"/>
      <c r="X32" s="14"/>
      <c r="Y32" s="14"/>
      <c r="Z32" s="14"/>
    </row>
    <row r="33" ht="12.0" customHeight="1">
      <c r="A33" s="14"/>
      <c r="B33" s="46"/>
      <c r="C33" s="46"/>
      <c r="D33" s="46"/>
      <c r="E33" s="46"/>
      <c r="F33" s="46"/>
      <c r="G33" s="14"/>
      <c r="H33" s="14"/>
      <c r="I33" s="14"/>
      <c r="J33" s="14"/>
      <c r="K33" s="14"/>
      <c r="L33" s="14"/>
      <c r="M33" s="14"/>
      <c r="N33" s="14"/>
      <c r="O33" s="14"/>
      <c r="P33" s="14"/>
      <c r="Q33" s="14"/>
      <c r="R33" s="14"/>
      <c r="S33" s="14"/>
      <c r="T33" s="14"/>
      <c r="U33" s="14"/>
      <c r="V33" s="14"/>
      <c r="W33" s="14"/>
      <c r="X33" s="14"/>
      <c r="Y33" s="14"/>
      <c r="Z33" s="14"/>
    </row>
    <row r="34" ht="12.0" customHeight="1">
      <c r="A34" s="14"/>
      <c r="B34" s="46"/>
      <c r="C34" s="46"/>
      <c r="D34" s="46"/>
      <c r="E34" s="46"/>
      <c r="F34" s="46"/>
      <c r="G34" s="14"/>
      <c r="H34" s="14"/>
      <c r="I34" s="14"/>
      <c r="J34" s="14"/>
      <c r="K34" s="14"/>
      <c r="L34" s="14"/>
      <c r="M34" s="14"/>
      <c r="N34" s="14"/>
      <c r="O34" s="14"/>
      <c r="P34" s="14"/>
      <c r="Q34" s="14"/>
      <c r="R34" s="14"/>
      <c r="S34" s="14"/>
      <c r="T34" s="14"/>
      <c r="U34" s="14"/>
      <c r="V34" s="14"/>
      <c r="W34" s="14"/>
      <c r="X34" s="14"/>
      <c r="Y34" s="14"/>
      <c r="Z34" s="14"/>
    </row>
    <row r="35" ht="12.0" customHeight="1">
      <c r="A35" s="14"/>
      <c r="B35" s="46"/>
      <c r="C35" s="46"/>
      <c r="D35" s="46"/>
      <c r="E35" s="46"/>
      <c r="F35" s="46"/>
      <c r="G35" s="14"/>
      <c r="H35" s="14"/>
      <c r="I35" s="14"/>
      <c r="J35" s="14"/>
      <c r="K35" s="14"/>
      <c r="L35" s="14"/>
      <c r="M35" s="14"/>
      <c r="N35" s="14"/>
      <c r="O35" s="14"/>
      <c r="P35" s="14"/>
      <c r="Q35" s="14"/>
      <c r="R35" s="14"/>
      <c r="S35" s="14"/>
      <c r="T35" s="14"/>
      <c r="U35" s="14"/>
      <c r="V35" s="14"/>
      <c r="W35" s="14"/>
      <c r="X35" s="14"/>
      <c r="Y35" s="14"/>
      <c r="Z35" s="14"/>
    </row>
    <row r="36" ht="12.0" customHeight="1">
      <c r="A36" s="14"/>
      <c r="B36" s="46"/>
      <c r="C36" s="46"/>
      <c r="D36" s="46"/>
      <c r="E36" s="46"/>
      <c r="F36" s="46"/>
      <c r="G36" s="14"/>
      <c r="H36" s="14"/>
      <c r="I36" s="14"/>
      <c r="J36" s="14"/>
      <c r="K36" s="14"/>
      <c r="L36" s="14"/>
      <c r="M36" s="14"/>
      <c r="N36" s="14"/>
      <c r="O36" s="14"/>
      <c r="P36" s="14"/>
      <c r="Q36" s="14"/>
      <c r="R36" s="14"/>
      <c r="S36" s="14"/>
      <c r="T36" s="14"/>
      <c r="U36" s="14"/>
      <c r="V36" s="14"/>
      <c r="W36" s="14"/>
      <c r="X36" s="14"/>
      <c r="Y36" s="14"/>
      <c r="Z36" s="14"/>
    </row>
    <row r="37" ht="12.0" customHeight="1">
      <c r="A37" s="14"/>
      <c r="B37" s="46"/>
      <c r="C37" s="46"/>
      <c r="D37" s="46"/>
      <c r="E37" s="46"/>
      <c r="F37" s="46"/>
      <c r="G37" s="14"/>
      <c r="H37" s="14"/>
      <c r="I37" s="14"/>
      <c r="J37" s="14"/>
      <c r="K37" s="14"/>
      <c r="L37" s="14"/>
      <c r="M37" s="14"/>
      <c r="N37" s="14"/>
      <c r="O37" s="14"/>
      <c r="P37" s="14"/>
      <c r="Q37" s="14"/>
      <c r="R37" s="14"/>
      <c r="S37" s="14"/>
      <c r="T37" s="14"/>
      <c r="U37" s="14"/>
      <c r="V37" s="14"/>
      <c r="W37" s="14"/>
      <c r="X37" s="14"/>
      <c r="Y37" s="14"/>
      <c r="Z37" s="14"/>
    </row>
    <row r="38" ht="12.0" customHeight="1">
      <c r="A38" s="14"/>
      <c r="B38" s="47"/>
      <c r="C38" s="48"/>
      <c r="D38" s="48"/>
      <c r="E38" s="48"/>
      <c r="F38" s="49"/>
      <c r="G38" s="14"/>
      <c r="H38" s="14"/>
      <c r="I38" s="14"/>
      <c r="J38" s="14"/>
      <c r="K38" s="14"/>
      <c r="L38" s="14"/>
      <c r="M38" s="14"/>
      <c r="N38" s="14"/>
      <c r="O38" s="14"/>
      <c r="P38" s="14"/>
      <c r="Q38" s="14"/>
      <c r="R38" s="14"/>
      <c r="S38" s="14"/>
      <c r="T38" s="14"/>
      <c r="U38" s="14"/>
      <c r="V38" s="14"/>
      <c r="W38" s="14"/>
      <c r="X38" s="14"/>
      <c r="Y38" s="14"/>
      <c r="Z38" s="14"/>
    </row>
    <row r="39" ht="12.0" customHeight="1">
      <c r="A39" s="14"/>
      <c r="B39" s="46"/>
      <c r="C39" s="46"/>
      <c r="D39" s="46"/>
      <c r="E39" s="46"/>
      <c r="F39" s="46"/>
      <c r="G39" s="14"/>
      <c r="H39" s="14"/>
      <c r="I39" s="14"/>
      <c r="J39" s="14"/>
      <c r="K39" s="14"/>
      <c r="L39" s="14"/>
      <c r="M39" s="14"/>
      <c r="N39" s="14"/>
      <c r="O39" s="14"/>
      <c r="P39" s="14"/>
      <c r="Q39" s="14"/>
      <c r="R39" s="14"/>
      <c r="S39" s="14"/>
      <c r="T39" s="14"/>
      <c r="U39" s="14"/>
      <c r="V39" s="14"/>
      <c r="W39" s="14"/>
      <c r="X39" s="14"/>
      <c r="Y39" s="14"/>
      <c r="Z39" s="14"/>
    </row>
    <row r="40" ht="12.0" customHeight="1">
      <c r="A40" s="14"/>
      <c r="B40" s="46"/>
      <c r="C40" s="46"/>
      <c r="D40" s="46"/>
      <c r="E40" s="46"/>
      <c r="F40" s="46"/>
      <c r="G40" s="14"/>
      <c r="P40" s="14"/>
      <c r="Q40" s="14"/>
      <c r="R40" s="14"/>
      <c r="S40" s="14"/>
      <c r="T40" s="14"/>
      <c r="U40" s="14"/>
      <c r="V40" s="14"/>
      <c r="W40" s="14"/>
      <c r="X40" s="14"/>
      <c r="Y40" s="14"/>
      <c r="Z40" s="14"/>
    </row>
    <row r="41" ht="12.0" customHeight="1">
      <c r="A41" s="14"/>
      <c r="B41" s="46"/>
      <c r="C41" s="46"/>
      <c r="D41" s="46"/>
      <c r="E41" s="46"/>
      <c r="F41" s="46"/>
      <c r="G41" s="14"/>
      <c r="H41" s="14"/>
      <c r="I41" s="14"/>
      <c r="J41" s="14"/>
      <c r="K41" s="14"/>
      <c r="L41" s="14"/>
      <c r="M41" s="14"/>
      <c r="N41" s="14"/>
      <c r="O41" s="14"/>
      <c r="P41" s="14"/>
      <c r="Q41" s="14"/>
      <c r="R41" s="14"/>
      <c r="S41" s="14"/>
      <c r="T41" s="14"/>
      <c r="U41" s="14"/>
      <c r="V41" s="14"/>
      <c r="W41" s="14"/>
      <c r="X41" s="14"/>
      <c r="Y41" s="14"/>
      <c r="Z41" s="14"/>
    </row>
    <row r="42" ht="12.0" customHeight="1">
      <c r="A42" s="14"/>
      <c r="B42" s="46"/>
      <c r="C42" s="46"/>
      <c r="D42" s="46"/>
      <c r="E42" s="46"/>
      <c r="F42" s="46"/>
      <c r="G42" s="14"/>
      <c r="H42" s="14"/>
      <c r="I42" s="14"/>
      <c r="J42" s="14"/>
      <c r="K42" s="14"/>
      <c r="L42" s="14"/>
      <c r="M42" s="14"/>
      <c r="N42" s="14"/>
      <c r="O42" s="14"/>
      <c r="P42" s="14"/>
      <c r="Q42" s="14"/>
      <c r="R42" s="14"/>
      <c r="S42" s="14"/>
      <c r="T42" s="14"/>
      <c r="U42" s="14"/>
      <c r="V42" s="14"/>
      <c r="W42" s="14"/>
      <c r="X42" s="14"/>
      <c r="Y42" s="14"/>
      <c r="Z42" s="14"/>
    </row>
    <row r="43" ht="12.0" customHeight="1">
      <c r="A43" s="14"/>
      <c r="B43" s="46"/>
      <c r="C43" s="46"/>
      <c r="D43" s="46"/>
      <c r="E43" s="46"/>
      <c r="F43" s="46"/>
      <c r="G43" s="14"/>
      <c r="H43" s="14"/>
      <c r="I43" s="14"/>
      <c r="J43" s="14"/>
      <c r="K43" s="14"/>
      <c r="L43" s="14"/>
      <c r="M43" s="14"/>
      <c r="N43" s="14"/>
      <c r="O43" s="14"/>
      <c r="P43" s="14"/>
      <c r="Q43" s="14"/>
      <c r="R43" s="14"/>
      <c r="S43" s="14"/>
      <c r="T43" s="14"/>
      <c r="U43" s="14"/>
      <c r="V43" s="14"/>
      <c r="W43" s="14"/>
      <c r="X43" s="14"/>
      <c r="Y43" s="14"/>
      <c r="Z43" s="14"/>
    </row>
    <row r="44" ht="12.0" customHeight="1">
      <c r="A44" s="14"/>
      <c r="B44" s="46"/>
      <c r="C44" s="46"/>
      <c r="D44" s="46"/>
      <c r="E44" s="46"/>
      <c r="F44" s="46"/>
      <c r="G44" s="14"/>
      <c r="H44" s="14"/>
      <c r="I44" s="14"/>
      <c r="J44" s="14"/>
      <c r="K44" s="14"/>
      <c r="L44" s="14"/>
      <c r="M44" s="14"/>
      <c r="N44" s="14"/>
      <c r="O44" s="14"/>
      <c r="P44" s="14"/>
      <c r="Q44" s="14"/>
      <c r="R44" s="14"/>
      <c r="S44" s="14"/>
      <c r="T44" s="14"/>
      <c r="U44" s="14"/>
      <c r="V44" s="14"/>
      <c r="W44" s="14"/>
      <c r="X44" s="14"/>
      <c r="Y44" s="14"/>
      <c r="Z44" s="14"/>
    </row>
    <row r="45" ht="12.0" customHeight="1">
      <c r="A45" s="14"/>
      <c r="B45" s="46"/>
      <c r="C45" s="46"/>
      <c r="D45" s="46"/>
      <c r="E45" s="46"/>
      <c r="F45" s="46"/>
      <c r="G45" s="14"/>
      <c r="H45" s="14"/>
      <c r="I45" s="14"/>
      <c r="J45" s="14"/>
      <c r="K45" s="14"/>
      <c r="L45" s="14"/>
      <c r="M45" s="14"/>
      <c r="N45" s="14"/>
      <c r="O45" s="14"/>
      <c r="P45" s="14"/>
      <c r="Q45" s="14"/>
      <c r="R45" s="14"/>
      <c r="S45" s="14"/>
      <c r="T45" s="14"/>
      <c r="U45" s="14"/>
      <c r="V45" s="14"/>
      <c r="W45" s="14"/>
      <c r="X45" s="14"/>
      <c r="Y45" s="14"/>
      <c r="Z45" s="14"/>
    </row>
    <row r="46" ht="12.0" customHeight="1">
      <c r="A46" s="14"/>
      <c r="B46" s="46"/>
      <c r="C46" s="46"/>
      <c r="D46" s="46"/>
      <c r="E46" s="46"/>
      <c r="F46" s="46"/>
      <c r="G46" s="14"/>
      <c r="H46" s="14"/>
      <c r="I46" s="14"/>
      <c r="J46" s="14"/>
      <c r="K46" s="14"/>
      <c r="L46" s="14"/>
      <c r="M46" s="14"/>
      <c r="N46" s="14"/>
      <c r="O46" s="14"/>
      <c r="P46" s="14"/>
      <c r="Q46" s="14"/>
      <c r="R46" s="14"/>
      <c r="S46" s="14"/>
      <c r="T46" s="14"/>
      <c r="U46" s="14"/>
      <c r="V46" s="14"/>
      <c r="W46" s="14"/>
      <c r="X46" s="14"/>
      <c r="Y46" s="14"/>
      <c r="Z46" s="14"/>
    </row>
    <row r="47" ht="12.0" customHeight="1">
      <c r="A47" s="14"/>
      <c r="B47" s="47"/>
      <c r="C47" s="48"/>
      <c r="D47" s="48"/>
      <c r="E47" s="48"/>
      <c r="F47" s="49"/>
      <c r="G47" s="14"/>
      <c r="H47" s="14"/>
      <c r="I47" s="14"/>
      <c r="J47" s="14"/>
      <c r="K47" s="14"/>
      <c r="L47" s="14"/>
      <c r="M47" s="14"/>
      <c r="N47" s="14"/>
      <c r="O47" s="14"/>
      <c r="P47" s="14"/>
      <c r="Q47" s="14"/>
      <c r="R47" s="14"/>
      <c r="S47" s="14"/>
      <c r="T47" s="14"/>
      <c r="U47" s="14"/>
      <c r="V47" s="14"/>
      <c r="W47" s="14"/>
      <c r="X47" s="14"/>
      <c r="Y47" s="14"/>
      <c r="Z47" s="14"/>
    </row>
    <row r="48" ht="12.0" customHeight="1">
      <c r="A48" s="14"/>
      <c r="B48" s="46"/>
      <c r="C48" s="46"/>
      <c r="D48" s="46"/>
      <c r="E48" s="46"/>
      <c r="F48" s="46"/>
      <c r="G48" s="14"/>
      <c r="H48" s="14"/>
      <c r="I48" s="14"/>
      <c r="J48" s="14"/>
      <c r="K48" s="14"/>
      <c r="L48" s="14"/>
      <c r="M48" s="14"/>
      <c r="N48" s="14"/>
      <c r="O48" s="14"/>
      <c r="P48" s="14"/>
      <c r="Q48" s="14"/>
      <c r="R48" s="14"/>
      <c r="S48" s="14"/>
      <c r="T48" s="14"/>
      <c r="U48" s="14"/>
      <c r="V48" s="14"/>
      <c r="W48" s="14"/>
      <c r="X48" s="14"/>
      <c r="Y48" s="14"/>
      <c r="Z48" s="14"/>
    </row>
    <row r="49" ht="12.0" customHeight="1">
      <c r="A49" s="14"/>
      <c r="B49" s="46"/>
      <c r="C49" s="46"/>
      <c r="D49" s="46"/>
      <c r="E49" s="46"/>
      <c r="F49" s="46"/>
      <c r="G49" s="14"/>
      <c r="H49" s="14"/>
      <c r="I49" s="14"/>
      <c r="J49" s="14"/>
      <c r="K49" s="14"/>
      <c r="L49" s="14"/>
      <c r="M49" s="14"/>
      <c r="N49" s="14"/>
      <c r="O49" s="14"/>
      <c r="P49" s="14"/>
      <c r="Q49" s="14"/>
      <c r="R49" s="14"/>
      <c r="S49" s="14"/>
      <c r="T49" s="14"/>
      <c r="U49" s="14"/>
      <c r="V49" s="14"/>
      <c r="W49" s="14"/>
      <c r="X49" s="14"/>
      <c r="Y49" s="14"/>
      <c r="Z49" s="14"/>
    </row>
    <row r="50" ht="12.0" customHeight="1">
      <c r="A50" s="14"/>
      <c r="B50" s="46"/>
      <c r="C50" s="46"/>
      <c r="D50" s="46"/>
      <c r="E50" s="46"/>
      <c r="F50" s="46"/>
      <c r="G50" s="14"/>
      <c r="H50" s="14"/>
      <c r="I50" s="14"/>
      <c r="J50" s="14"/>
      <c r="K50" s="14"/>
      <c r="L50" s="14"/>
      <c r="M50" s="14"/>
      <c r="N50" s="14"/>
      <c r="O50" s="14"/>
      <c r="P50" s="14"/>
      <c r="Q50" s="14"/>
      <c r="R50" s="14"/>
      <c r="S50" s="14"/>
      <c r="T50" s="14"/>
      <c r="U50" s="14"/>
      <c r="V50" s="14"/>
      <c r="W50" s="14"/>
      <c r="X50" s="14"/>
      <c r="Y50" s="14"/>
      <c r="Z50" s="14"/>
    </row>
    <row r="51" ht="12.0" customHeight="1">
      <c r="A51" s="14"/>
      <c r="B51" s="46"/>
      <c r="C51" s="46"/>
      <c r="D51" s="46"/>
      <c r="E51" s="46"/>
      <c r="F51" s="46"/>
      <c r="G51" s="14"/>
      <c r="H51" s="14"/>
      <c r="I51" s="14"/>
      <c r="J51" s="14"/>
      <c r="K51" s="14"/>
      <c r="L51" s="14"/>
      <c r="M51" s="14"/>
      <c r="N51" s="14"/>
      <c r="O51" s="14"/>
      <c r="P51" s="14"/>
      <c r="Q51" s="14"/>
      <c r="R51" s="14"/>
      <c r="S51" s="14"/>
      <c r="T51" s="14"/>
      <c r="U51" s="14"/>
      <c r="V51" s="14"/>
      <c r="W51" s="14"/>
      <c r="X51" s="14"/>
      <c r="Y51" s="14"/>
      <c r="Z51" s="14"/>
    </row>
    <row r="52" ht="12.0" customHeight="1">
      <c r="A52" s="14"/>
      <c r="B52" s="46"/>
      <c r="C52" s="46"/>
      <c r="D52" s="46"/>
      <c r="E52" s="46"/>
      <c r="F52" s="46"/>
      <c r="G52" s="14"/>
      <c r="H52" s="14"/>
      <c r="I52" s="14"/>
      <c r="J52" s="14"/>
      <c r="K52" s="14"/>
      <c r="L52" s="14"/>
      <c r="M52" s="14"/>
      <c r="N52" s="14"/>
      <c r="O52" s="14"/>
      <c r="P52" s="14"/>
      <c r="Q52" s="14"/>
      <c r="R52" s="14"/>
      <c r="S52" s="14"/>
      <c r="T52" s="14"/>
      <c r="U52" s="14"/>
      <c r="V52" s="14"/>
      <c r="W52" s="14"/>
      <c r="X52" s="14"/>
      <c r="Y52" s="14"/>
      <c r="Z52" s="14"/>
    </row>
    <row r="53" ht="12.0" customHeight="1">
      <c r="A53" s="14"/>
      <c r="B53" s="46"/>
      <c r="C53" s="46"/>
      <c r="D53" s="46"/>
      <c r="E53" s="46"/>
      <c r="F53" s="46"/>
      <c r="G53" s="14"/>
      <c r="H53" s="14"/>
      <c r="I53" s="14"/>
      <c r="J53" s="14"/>
      <c r="K53" s="14"/>
      <c r="L53" s="14"/>
      <c r="M53" s="14"/>
      <c r="N53" s="14"/>
      <c r="O53" s="14"/>
      <c r="P53" s="14"/>
      <c r="Q53" s="14"/>
      <c r="R53" s="14"/>
      <c r="S53" s="14"/>
      <c r="T53" s="14"/>
      <c r="U53" s="14"/>
      <c r="V53" s="14"/>
      <c r="W53" s="14"/>
      <c r="X53" s="14"/>
      <c r="Y53" s="14"/>
      <c r="Z53" s="14"/>
    </row>
    <row r="54" ht="12.0" customHeight="1">
      <c r="A54" s="14"/>
      <c r="B54" s="46"/>
      <c r="C54" s="46"/>
      <c r="D54" s="46"/>
      <c r="E54" s="46"/>
      <c r="F54" s="46"/>
      <c r="G54" s="14"/>
      <c r="H54" s="14"/>
      <c r="I54" s="14"/>
      <c r="J54" s="14"/>
      <c r="K54" s="14"/>
      <c r="L54" s="14"/>
      <c r="M54" s="14"/>
      <c r="N54" s="14"/>
      <c r="O54" s="14"/>
      <c r="P54" s="14"/>
      <c r="Q54" s="14"/>
      <c r="R54" s="14"/>
      <c r="S54" s="14"/>
      <c r="T54" s="14"/>
      <c r="U54" s="14"/>
      <c r="V54" s="14"/>
      <c r="W54" s="14"/>
      <c r="X54" s="14"/>
      <c r="Y54" s="14"/>
      <c r="Z54" s="14"/>
    </row>
    <row r="55" ht="12.0" customHeight="1">
      <c r="A55" s="14"/>
      <c r="B55" s="46"/>
      <c r="C55" s="46"/>
      <c r="D55" s="46"/>
      <c r="E55" s="46"/>
      <c r="F55" s="46"/>
      <c r="G55" s="14"/>
      <c r="H55" s="14"/>
      <c r="I55" s="14"/>
      <c r="J55" s="14"/>
      <c r="K55" s="14"/>
      <c r="L55" s="14"/>
      <c r="M55" s="14"/>
      <c r="N55" s="14"/>
      <c r="O55" s="14"/>
      <c r="P55" s="14"/>
      <c r="Q55" s="14"/>
      <c r="R55" s="14"/>
      <c r="S55" s="14"/>
      <c r="T55" s="14"/>
      <c r="U55" s="14"/>
      <c r="V55" s="14"/>
      <c r="W55" s="14"/>
      <c r="X55" s="14"/>
      <c r="Y55" s="14"/>
      <c r="Z55" s="14"/>
    </row>
    <row r="56" ht="12.0" customHeight="1">
      <c r="A56" s="14"/>
      <c r="P56" s="14"/>
      <c r="Q56" s="14"/>
      <c r="R56" s="14"/>
      <c r="S56" s="14"/>
      <c r="T56" s="14"/>
      <c r="U56" s="14"/>
      <c r="V56" s="14"/>
      <c r="W56" s="14"/>
      <c r="X56" s="14"/>
      <c r="Y56" s="14"/>
      <c r="Z56" s="14"/>
    </row>
    <row r="57" ht="12.0" customHeight="1">
      <c r="A57" s="14"/>
      <c r="P57" s="14"/>
      <c r="Q57" s="14"/>
      <c r="R57" s="14"/>
      <c r="S57" s="14"/>
      <c r="T57" s="14"/>
      <c r="U57" s="14"/>
      <c r="V57" s="14"/>
      <c r="W57" s="14"/>
      <c r="X57" s="14"/>
      <c r="Y57" s="14"/>
      <c r="Z57" s="14"/>
    </row>
    <row r="58" ht="12.0"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2.0"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2.0"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2.0"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2.0"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2.0"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2.0"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2.0"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2.0"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2.0"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2.0"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2.0"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2.0"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2.0"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2.0"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2.0"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2.0"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2.0"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2.0"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2.0"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2.0"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2.0"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2.0"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2.0"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2.0"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2.0"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2.0"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2.0"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2.0"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2.0"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2.0"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2.0"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2.0"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2.0"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2.0"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2.0"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2.0"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2.0"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2.0"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2.0"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2.0"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2.0"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2.0"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2.0"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2.0"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2.0"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2.0"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2.0"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2.0"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2.0"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2.0"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2.0"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2.0"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2.0"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2.0"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2.0"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2.0"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2.0"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2.0"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2.0"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2.0"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2.0"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2.0"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2.0"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2.0"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2.0"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2.0"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2.0"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2.0"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2.0"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2.0"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2.0"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2.0"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2.0"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2.0"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2.0"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2.0"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2.0"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2.0"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2.0"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2.0"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2.0"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2.0"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2.0"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2.0"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2.0"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2.0"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2.0"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2.0"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2.0"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2.0"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2.0"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2.0"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2.0"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2.0"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2.0"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2.0"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2.0"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2.0"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2.0"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2.0"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2.0"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2.0"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2.0"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2.0"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2.0"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2.0"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2.0"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2.0"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2.0"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2.0"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2.0"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2.0"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2.0"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2.0"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2.0"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2.0"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2.0"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2.0"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2.0"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2.0"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2.0"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2.0"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2.0"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2.0"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2.0"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2.0"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2.0"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2.0"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2.0"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2.0"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2.0"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2.0"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2.0"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2.0"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2.0"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2.0"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2.0"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2.0"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2.0"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2.0"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2.0"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2.0"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2.0"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2.0"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2.0"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2.0"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2.0"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2.0"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2.0"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2.0"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2.0"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2.0"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2.0"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2.0"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2.0"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2.0"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2.0"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2.0"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2.0"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2.0"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2.0"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2.0"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2.0"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2.0"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2.0"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2.0"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2.0"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2.0"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2.0"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2.0"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2.0"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2.0"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2.0"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2.0"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2.0"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2.0"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2.0"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2.0"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2.0"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2.0"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2.0"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2.0"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2.0"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2.0"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2.0"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2.0"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2.0"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2.0"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2.0"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2.0"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2.0"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2.0"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2.0"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2.0"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2.0"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2.0"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2.0"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2.0"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2.0"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2.0"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2.0"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2.0"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2.0"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2.0"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2.0"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2.0"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2.0"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2.0"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2.0"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2.0"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2.0"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2.0"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2.0"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2.0"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2.0"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2.0"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2.0"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2.0"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2.0"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2.0"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2.0"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2.0"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2.0"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2.0"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2.0"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2.0"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2.0"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2.0"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2.0"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2.0"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2.0"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2.0"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2.0"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2.0"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2.0"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2.0"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2.0"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2.0"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2.0"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2.0"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2.0"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2.0"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2.0"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2.0"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2.0"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2.0"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2.0"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2.0"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2.0"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2.0"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2.0"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2.0"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2.0"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2.0"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2.0"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2.0"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2.0"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2.0"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2.0"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2.0"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2.0"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2.0"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2.0"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2.0"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2.0"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2.0"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2.0"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2.0"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2.0"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2.0"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2.0"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2.0"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2.0"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2.0"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2.0"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2.0"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2.0"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2.0"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2.0"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2.0"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2.0"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2.0"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2.0"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2.0"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2.0"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2.0"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2.0"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2.0"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2.0"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2.0"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2.0"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2.0"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2.0"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2.0"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2.0"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2.0"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2.0"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2.0"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2.0"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2.0"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2.0"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2.0"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2.0"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2.0"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2.0"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2.0"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2.0"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2.0"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2.0"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2.0"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2.0"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2.0"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2.0"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2.0"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2.0"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2.0"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2.0"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2.0"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2.0"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2.0"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2.0"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2.0"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2.0"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2.0"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2.0"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2.0"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2.0"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2.0"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2.0"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2.0"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2.0"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2.0"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2.0"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2.0"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2.0"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2.0"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2.0"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2.0"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2.0"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2.0"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2.0"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2.0"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2.0"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2.0"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2.0"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2.0"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2.0"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2.0"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2.0"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2.0"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2.0"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2.0"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2.0"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2.0"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2.0"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2.0"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2.0"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2.0"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2.0"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2.0"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2.0"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2.0"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2.0"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2.0"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2.0"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2.0"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2.0"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2.0"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2.0"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2.0"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2.0"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2.0"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2.0"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2.0"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2.0"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2.0"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2.0"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2.0"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2.0"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2.0"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2.0"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2.0"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2.0"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2.0"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2.0"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2.0"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2.0"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2.0"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2.0"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2.0"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2.0"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2.0"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2.0"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2.0"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2.0"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2.0"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2.0"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2.0"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2.0"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2.0"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2.0"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2.0"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2.0"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2.0"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2.0"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2.0"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2.0"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2.0"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2.0"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2.0"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2.0"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2.0"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2.0"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2.0"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2.0"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2.0"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2.0"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2.0"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2.0"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2.0"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2.0"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2.0"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2.0"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2.0"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2.0"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2.0"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2.0"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2.0"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2.0"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2.0"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2.0"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2.0"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2.0"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2.0"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2.0"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2.0"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2.0"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2.0"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2.0"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2.0"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2.0"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2.0"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2.0"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2.0"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2.0"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2.0"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2.0"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2.0"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2.0"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2.0"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2.0"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2.0"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2.0"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2.0"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2.0"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2.0"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2.0"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2.0"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2.0"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2.0"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2.0"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2.0"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2.0"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2.0"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2.0"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2.0"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2.0"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2.0"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2.0"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2.0"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2.0"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2.0"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2.0"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2.0"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2.0"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2.0"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2.0"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2.0"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2.0"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2.0"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2.0"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2.0"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2.0"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2.0"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2.0"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2.0"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2.0"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2.0"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2.0"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2.0"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2.0"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2.0"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2.0"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2.0"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2.0"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2.0"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2.0"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2.0"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2.0"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2.0"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2.0"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2.0"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2.0"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2.0"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2.0"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2.0"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2.0"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2.0"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2.0"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2.0"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2.0"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2.0"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2.0"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2.0"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2.0"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2.0"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2.0"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2.0"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2.0"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2.0"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2.0"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2.0"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2.0"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2.0"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2.0"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2.0"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2.0"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2.0"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2.0"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2.0"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2.0"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2.0"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2.0"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2.0"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2.0"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2.0"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2.0"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2.0"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2.0"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2.0"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2.0"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2.0"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2.0"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2.0"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2.0"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2.0"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2.0"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2.0"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2.0"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2.0"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2.0"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2.0"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2.0"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2.0"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2.0"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2.0"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2.0"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2.0"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2.0"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2.0"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2.0"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2.0"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2.0"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2.0"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2.0"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2.0"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2.0"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2.0"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2.0"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2.0"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2.0"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2.0"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2.0"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2.0"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2.0"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2.0"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2.0"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2.0"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2.0"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2.0"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2.0"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2.0"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2.0"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2.0"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2.0"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2.0"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2.0"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2.0"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2.0"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2.0"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2.0"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2.0"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2.0"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2.0"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2.0"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2.0"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2.0"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2.0"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2.0"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2.0"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2.0"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2.0"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2.0"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2.0"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2.0"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2.0"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2.0"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2.0"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2.0"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2.0"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2.0"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2.0"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2.0"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2.0"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2.0"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2.0"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2.0"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2.0"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2.0"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2.0"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2.0"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2.0"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2.0"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2.0"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2.0"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2.0"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2.0"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2.0"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2.0"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2.0"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2.0"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2.0"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2.0"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2.0"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2.0"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2.0"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2.0"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2.0"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2.0"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2.0"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2.0"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2.0"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2.0"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2.0"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2.0"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2.0"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2.0"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2.0"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2.0"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2.0"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2.0"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2.0"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2.0"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2.0"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2.0"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2.0"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2.0"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2.0"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2.0"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2.0"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2.0"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2.0"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2.0"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2.0"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2.0"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2.0"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2.0"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2.0"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2.0"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2.0"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2.0"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2.0"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2.0"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2.0"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2.0"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2.0"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2.0"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2.0"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2.0"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2.0"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2.0"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2.0"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2.0"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2.0"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2.0"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2.0"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2.0"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2.0"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2.0"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2.0"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2.0"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2.0"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2.0"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2.0"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2.0"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2.0"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2.0"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2.0"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2.0"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2.0"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2.0"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2.0"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2.0"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2.0"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2.0"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2.0"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2.0"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2.0"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2.0"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2.0"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2.0"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2.0"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2.0"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2.0"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2.0"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2.0"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2.0"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2.0"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2.0"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2.0"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2.0"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2.0"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2.0"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2.0"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2.0"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2.0"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2.0"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2.0"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2.0"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2.0"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2.0"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2.0"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2.0"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2.0"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2.0"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2.0"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2.0"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2.0"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2.0"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2.0"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2.0"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2.0"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2.0"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2.0"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2.0"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2.0"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2.0"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2.0"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2.0"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2.0"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2.0"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2.0"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2.0"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2.0"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2.0"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2.0"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2.0"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2.0"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2.0"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2.0"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2.0"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2.0"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2.0"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2.0"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2.0"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2.0"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2.0"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2.0"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2.0"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2.0"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2.0"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2.0"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2.0"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2.0"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2.0"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2.0"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2.0"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2.0"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2.0"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2.0"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2.0"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2.0"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2.0"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2.0"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2.0"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2.0"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2.0"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2.0"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2.0"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2.0"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2.0"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2.0"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2.0"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2.0"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2.0"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2.0"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2.0"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2.0"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2.0"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2.0"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2.0"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2.0"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2.0"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2.0"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2.0"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2.0"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2.0"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2.0"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2.0"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2.0"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2.0"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2.0"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2.0"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2.0"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2.0"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2.0"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2.0"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2.0"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2.0"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2.0"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2.0"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2.0"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2.0"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2.0"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2.0"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2.0"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2.0"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2.0"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2.0"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2.0"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2.0"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2.0"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2.0"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2.0"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2.0"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2.0"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2.0"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2.0"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2.0"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2.0"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2.0"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2.0"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2.0"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2.0"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2.0"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2.0"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2.0"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2.0"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2.0"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2.0"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2.0"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2.0"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2.0"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2.0"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2.0"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2.0"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2.0"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2.0"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2.0"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2.0"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2.0"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2.0"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2.0"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2.0"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2.0"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2.0"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2.0"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2.0"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2.0"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2.0"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2.0"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2.0"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2.0"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2.0"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2.0"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2.0"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2.0"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2.0"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2.0"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2.0"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2.0"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2.0"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2.0"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2.0"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2.0"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2.0"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2.0"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2.0"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2.0"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2.0"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2.0"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2.0"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2.0"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2.0"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2.0"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2.0"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2.0"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2.0"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2.0"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2.0"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2.0"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2.0"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2.0"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2.0"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2.0"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2.0"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2.0"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2.0"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2.0"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2.0"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2.0"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2.0"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2.0"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2.0"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2.0"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2.0"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2.0"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2.0"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2.0"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2.0"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2.0"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2.0"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2.0"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2.0"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2.0"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2.0"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2.0"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2.0"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2.0"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2.0"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2.0"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2.0"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2.0"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2.0"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2.0"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2.0"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2.0"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2.0"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2.0"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2.0"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2.0"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row r="1000" ht="12.0"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row>
  </sheetData>
  <mergeCells count="7">
    <mergeCell ref="B4:O4"/>
    <mergeCell ref="B13:F13"/>
    <mergeCell ref="H13:O13"/>
    <mergeCell ref="B26:F26"/>
    <mergeCell ref="B28:F28"/>
    <mergeCell ref="B38:F38"/>
    <mergeCell ref="B47:F47"/>
  </mergeCells>
  <printOptions/>
  <pageMargins bottom="0.2" footer="0.0" header="0.0" left="0.75" right="0.75" top="0.4"/>
  <pageSetup scale="9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0.38"/>
    <col customWidth="1" min="2" max="2" width="14.88"/>
    <col customWidth="1" min="3" max="3" width="13.25"/>
    <col customWidth="1" min="4" max="4" width="8.63"/>
    <col customWidth="1" min="5" max="5" width="13.88"/>
    <col customWidth="1" min="6" max="26" width="8.63"/>
  </cols>
  <sheetData>
    <row r="1" ht="13.5" customHeight="1">
      <c r="A1" s="14"/>
      <c r="B1" s="50" t="s">
        <v>20</v>
      </c>
      <c r="C1" s="50" t="s">
        <v>21</v>
      </c>
      <c r="E1" s="51"/>
    </row>
    <row r="2" ht="13.5" customHeight="1">
      <c r="A2" s="14" t="s">
        <v>22</v>
      </c>
      <c r="B2" s="52">
        <v>6315.71798863696</v>
      </c>
      <c r="C2" s="52">
        <v>10177.8071800615</v>
      </c>
      <c r="E2" s="52"/>
    </row>
    <row r="3" ht="13.5" customHeight="1">
      <c r="A3" s="14" t="s">
        <v>23</v>
      </c>
      <c r="B3" s="52">
        <v>6356.50873055255</v>
      </c>
      <c r="C3" s="52">
        <v>10222.9198018813</v>
      </c>
      <c r="E3" s="52"/>
    </row>
    <row r="4" ht="13.5" customHeight="1">
      <c r="A4" s="14" t="s">
        <v>24</v>
      </c>
      <c r="B4" s="52">
        <v>6417.07928080203</v>
      </c>
      <c r="C4" s="52">
        <v>10307.964109397</v>
      </c>
      <c r="E4" s="52"/>
    </row>
    <row r="5" ht="13.5" customHeight="1">
      <c r="A5" s="14" t="s">
        <v>25</v>
      </c>
      <c r="B5" s="52">
        <v>6443.25865809459</v>
      </c>
      <c r="C5" s="52">
        <v>10314.3081381758</v>
      </c>
      <c r="E5" s="52"/>
    </row>
    <row r="6" ht="13.5" customHeight="1">
      <c r="A6" s="14" t="s">
        <v>26</v>
      </c>
      <c r="B6" s="52">
        <v>6433.8005044888</v>
      </c>
      <c r="C6" s="52">
        <v>10293.4730672884</v>
      </c>
      <c r="E6" s="52"/>
    </row>
    <row r="7" ht="13.5" customHeight="1">
      <c r="A7" s="14" t="s">
        <v>27</v>
      </c>
      <c r="B7" s="52">
        <v>6535.22983742409</v>
      </c>
      <c r="C7" s="52">
        <v>10433.8304605902</v>
      </c>
      <c r="E7" s="52"/>
    </row>
    <row r="8" ht="13.5" customHeight="1">
      <c r="A8" s="14" t="s">
        <v>28</v>
      </c>
      <c r="B8" s="52">
        <v>6557.30719855751</v>
      </c>
      <c r="C8" s="52">
        <v>10451.3264662807</v>
      </c>
      <c r="E8" s="52"/>
    </row>
    <row r="9" ht="13.5" customHeight="1">
      <c r="A9" s="14" t="s">
        <v>29</v>
      </c>
      <c r="B9" s="52">
        <v>6556.89295498056</v>
      </c>
      <c r="C9" s="52">
        <v>10431.1772374543</v>
      </c>
      <c r="E9" s="52"/>
    </row>
    <row r="10" ht="13.5" customHeight="1">
      <c r="A10" s="14" t="s">
        <v>30</v>
      </c>
      <c r="B10" s="52">
        <v>6585.7228464639</v>
      </c>
      <c r="C10" s="52">
        <v>10465.8744226842</v>
      </c>
      <c r="E10" s="52"/>
    </row>
    <row r="11" ht="13.5" customHeight="1">
      <c r="A11" s="14" t="s">
        <v>31</v>
      </c>
      <c r="B11" s="52">
        <v>6637.25078688076</v>
      </c>
      <c r="C11" s="52">
        <v>10524.9998339082</v>
      </c>
      <c r="E11" s="52"/>
    </row>
    <row r="12" ht="13.5" customHeight="1">
      <c r="A12" s="14" t="s">
        <v>32</v>
      </c>
      <c r="B12" s="52">
        <v>6680.22994210931</v>
      </c>
      <c r="C12" s="52">
        <v>10555.4558833739</v>
      </c>
      <c r="E12" s="52"/>
    </row>
    <row r="13" ht="13.5" customHeight="1">
      <c r="A13" s="14" t="s">
        <v>33</v>
      </c>
      <c r="B13" s="52">
        <v>6724.92827100224</v>
      </c>
      <c r="C13" s="52">
        <v>10594.7157833852</v>
      </c>
      <c r="E13" s="52"/>
    </row>
    <row r="14" ht="13.5" customHeight="1">
      <c r="A14" s="14" t="s">
        <v>34</v>
      </c>
      <c r="B14" s="52">
        <v>6718.51820988532</v>
      </c>
      <c r="C14" s="52">
        <v>10578.4928644097</v>
      </c>
      <c r="E14" s="52"/>
    </row>
    <row r="15" ht="13.5" customHeight="1">
      <c r="A15" s="14" t="s">
        <v>35</v>
      </c>
      <c r="B15" s="52">
        <v>6741.42292861514</v>
      </c>
      <c r="C15" s="52">
        <v>10594.4772818044</v>
      </c>
      <c r="E15" s="52"/>
    </row>
    <row r="16" ht="13.5" customHeight="1">
      <c r="A16" s="14" t="s">
        <v>36</v>
      </c>
      <c r="B16" s="52">
        <v>6728.43586150105</v>
      </c>
      <c r="C16" s="52">
        <v>10555.040706329</v>
      </c>
      <c r="E16" s="52"/>
    </row>
    <row r="17" ht="13.5" customHeight="1">
      <c r="A17" s="14" t="s">
        <v>37</v>
      </c>
      <c r="B17" s="52">
        <v>6767.88507903403</v>
      </c>
      <c r="C17" s="52">
        <v>10596.2532311465</v>
      </c>
      <c r="E17" s="52"/>
    </row>
    <row r="18" ht="13.5" customHeight="1">
      <c r="A18" s="14" t="s">
        <v>38</v>
      </c>
      <c r="B18" s="52">
        <v>6824.29363976906</v>
      </c>
      <c r="C18" s="52">
        <v>10659.3546103539</v>
      </c>
      <c r="E18" s="52"/>
    </row>
    <row r="19" ht="13.5" customHeight="1">
      <c r="A19" s="14" t="s">
        <v>39</v>
      </c>
      <c r="B19" s="52">
        <v>6834.63828119525</v>
      </c>
      <c r="C19" s="52">
        <v>10657.0679061908</v>
      </c>
      <c r="E19" s="52"/>
    </row>
    <row r="20" ht="13.5" customHeight="1">
      <c r="A20" s="14" t="s">
        <v>40</v>
      </c>
      <c r="B20" s="52">
        <v>6832.66281801412</v>
      </c>
      <c r="C20" s="52">
        <v>10631.6032107704</v>
      </c>
      <c r="E20" s="52"/>
    </row>
    <row r="21" ht="13.5" customHeight="1">
      <c r="A21" s="14" t="s">
        <v>41</v>
      </c>
      <c r="B21" s="52">
        <v>6874.16674658215</v>
      </c>
      <c r="C21" s="52">
        <v>10675.0278167535</v>
      </c>
      <c r="E21" s="52"/>
    </row>
    <row r="22" ht="13.5" customHeight="1">
      <c r="A22" s="14" t="s">
        <v>42</v>
      </c>
      <c r="B22" s="52">
        <v>6939.46443540361</v>
      </c>
      <c r="C22" s="52">
        <v>10758.3043394467</v>
      </c>
      <c r="E22" s="52"/>
    </row>
    <row r="23" ht="13.5" customHeight="1">
      <c r="A23" s="14" t="s">
        <v>43</v>
      </c>
      <c r="B23" s="52">
        <v>6944.54381251321</v>
      </c>
      <c r="C23" s="52">
        <v>10753.3932617099</v>
      </c>
      <c r="E23" s="52"/>
    </row>
    <row r="24" ht="13.5" customHeight="1">
      <c r="A24" s="14" t="s">
        <v>44</v>
      </c>
      <c r="B24" s="52">
        <v>7035.93191579014</v>
      </c>
      <c r="C24" s="52">
        <v>10860.5301323053</v>
      </c>
      <c r="E24" s="52"/>
    </row>
    <row r="25" ht="13.5" customHeight="1">
      <c r="A25" s="14" t="s">
        <v>45</v>
      </c>
      <c r="B25" s="52">
        <v>7060.73827170591</v>
      </c>
      <c r="C25" s="52">
        <v>10887.1912927997</v>
      </c>
      <c r="E25" s="52"/>
    </row>
    <row r="26" ht="13.5" customHeight="1">
      <c r="A26" s="14" t="s">
        <v>46</v>
      </c>
      <c r="B26" s="52">
        <v>7074.37666684481</v>
      </c>
      <c r="C26" s="52">
        <v>10886.2269928287</v>
      </c>
      <c r="E26" s="52"/>
    </row>
    <row r="27" ht="13.5" customHeight="1">
      <c r="A27" s="14" t="s">
        <v>47</v>
      </c>
      <c r="B27" s="52">
        <v>7122.91227802548</v>
      </c>
      <c r="C27" s="52">
        <v>10947.639232479</v>
      </c>
      <c r="E27" s="52"/>
    </row>
    <row r="28" ht="13.5" customHeight="1">
      <c r="A28" s="14" t="s">
        <v>48</v>
      </c>
      <c r="B28" s="52">
        <v>7149.66705512929</v>
      </c>
      <c r="C28" s="52">
        <v>10982.6413436699</v>
      </c>
      <c r="E28" s="52"/>
    </row>
    <row r="29" ht="13.5" customHeight="1">
      <c r="A29" s="14" t="s">
        <v>49</v>
      </c>
      <c r="B29" s="52">
        <v>7186.46855747764</v>
      </c>
      <c r="C29" s="52">
        <v>11019.1530644873</v>
      </c>
      <c r="E29" s="52"/>
    </row>
    <row r="30" ht="13.5" customHeight="1">
      <c r="A30" s="14" t="s">
        <v>50</v>
      </c>
      <c r="B30" s="52">
        <v>7290.06296507011</v>
      </c>
      <c r="C30" s="52">
        <v>11127.6089160549</v>
      </c>
      <c r="E30" s="52"/>
    </row>
    <row r="31" ht="13.5" customHeight="1">
      <c r="A31" s="14" t="s">
        <v>51</v>
      </c>
      <c r="B31" s="52">
        <v>7264.26147744882</v>
      </c>
      <c r="C31" s="52">
        <v>11114.4206798639</v>
      </c>
      <c r="E31" s="52"/>
    </row>
    <row r="32" ht="13.5" customHeight="1">
      <c r="A32" s="14" t="s">
        <v>52</v>
      </c>
      <c r="B32" s="52">
        <v>7299.35044564452</v>
      </c>
      <c r="C32" s="52">
        <v>11118.5236430037</v>
      </c>
      <c r="E32" s="52"/>
    </row>
    <row r="33" ht="13.5" customHeight="1">
      <c r="A33" s="14" t="s">
        <v>53</v>
      </c>
      <c r="B33" s="52">
        <v>7351.5618996158</v>
      </c>
      <c r="C33" s="52">
        <v>11193.608291705</v>
      </c>
      <c r="E33" s="52"/>
    </row>
    <row r="34" ht="13.5" customHeight="1">
      <c r="A34" s="14" t="s">
        <v>54</v>
      </c>
      <c r="B34" s="52">
        <v>7342.3126547418</v>
      </c>
      <c r="C34" s="52">
        <v>11143.6776454122</v>
      </c>
      <c r="E34" s="52"/>
    </row>
    <row r="35" ht="13.5" customHeight="1">
      <c r="A35" s="14" t="s">
        <v>55</v>
      </c>
      <c r="B35" s="52">
        <v>7429.15679776795</v>
      </c>
      <c r="C35" s="52">
        <v>11246.9654343014</v>
      </c>
      <c r="E35" s="52"/>
    </row>
    <row r="36" ht="13.5" customHeight="1">
      <c r="A36" s="14" t="s">
        <v>56</v>
      </c>
      <c r="B36" s="52">
        <v>7431.63741164644</v>
      </c>
      <c r="C36" s="52">
        <v>11239.4192731747</v>
      </c>
      <c r="E36" s="52"/>
    </row>
    <row r="37" ht="13.5" customHeight="1">
      <c r="A37" s="14" t="s">
        <v>57</v>
      </c>
      <c r="B37" s="52">
        <v>7505.06979058875</v>
      </c>
      <c r="C37" s="52">
        <v>11353.0164158578</v>
      </c>
      <c r="E37" s="52"/>
    </row>
    <row r="38" ht="13.5" customHeight="1">
      <c r="A38" s="14" t="s">
        <v>58</v>
      </c>
      <c r="B38" s="52">
        <v>7542.27750773686</v>
      </c>
      <c r="C38" s="52">
        <v>11356.5404689242</v>
      </c>
      <c r="E38" s="52"/>
    </row>
    <row r="39" ht="13.5" customHeight="1">
      <c r="A39" s="14" t="s">
        <v>59</v>
      </c>
      <c r="B39" s="52">
        <v>7488.45565089107</v>
      </c>
      <c r="C39" s="52">
        <v>11272.2181177342</v>
      </c>
      <c r="E39" s="52"/>
    </row>
    <row r="40" ht="13.5" customHeight="1">
      <c r="A40" s="14" t="s">
        <v>60</v>
      </c>
      <c r="B40" s="52">
        <v>7536.13384136214</v>
      </c>
      <c r="C40" s="52">
        <v>11331.0116931558</v>
      </c>
      <c r="E40" s="52"/>
    </row>
    <row r="41" ht="13.5" customHeight="1">
      <c r="A41" s="14" t="s">
        <v>61</v>
      </c>
      <c r="B41" s="52">
        <v>7539.26371393635</v>
      </c>
      <c r="C41" s="52">
        <v>11297.4019586162</v>
      </c>
      <c r="E41" s="52"/>
    </row>
    <row r="42" ht="13.5" customHeight="1">
      <c r="A42" s="14" t="s">
        <v>62</v>
      </c>
      <c r="B42" s="52">
        <v>7560.68294726692</v>
      </c>
      <c r="C42" s="52">
        <v>11327.566621003</v>
      </c>
      <c r="E42" s="52"/>
    </row>
    <row r="43" ht="13.5" customHeight="1">
      <c r="A43" s="14" t="s">
        <v>63</v>
      </c>
      <c r="B43" s="52">
        <v>7643.04433879341</v>
      </c>
      <c r="C43" s="52">
        <v>11436.5864250362</v>
      </c>
      <c r="E43" s="52"/>
    </row>
    <row r="44" ht="13.5" customHeight="1">
      <c r="A44" s="14" t="s">
        <v>64</v>
      </c>
      <c r="B44" s="52">
        <v>7630.43182190658</v>
      </c>
      <c r="C44" s="52">
        <v>11379.880916091</v>
      </c>
      <c r="E44" s="52"/>
    </row>
    <row r="45" ht="13.5" customHeight="1">
      <c r="A45" s="14" t="s">
        <v>65</v>
      </c>
      <c r="B45" s="52">
        <v>7674.16867022133</v>
      </c>
      <c r="C45" s="52">
        <v>11441.6978875707</v>
      </c>
      <c r="E45" s="52"/>
    </row>
    <row r="46" ht="13.5" customHeight="1">
      <c r="A46" s="14" t="s">
        <v>66</v>
      </c>
      <c r="B46" s="52">
        <v>7744.77450787435</v>
      </c>
      <c r="C46" s="52">
        <v>11529.8836246475</v>
      </c>
      <c r="E46" s="52"/>
    </row>
    <row r="47" ht="13.5" customHeight="1">
      <c r="A47" s="14" t="s">
        <v>67</v>
      </c>
      <c r="B47" s="52">
        <v>7747.18910879053</v>
      </c>
      <c r="C47" s="52">
        <v>11480.5946065455</v>
      </c>
      <c r="E47" s="52"/>
    </row>
    <row r="48" ht="13.5" customHeight="1">
      <c r="A48" s="14" t="s">
        <v>68</v>
      </c>
      <c r="B48" s="52">
        <v>7747.77749523209</v>
      </c>
      <c r="C48" s="52">
        <v>11499.1331051149</v>
      </c>
      <c r="E48" s="52"/>
    </row>
    <row r="49" ht="13.5" customHeight="1">
      <c r="A49" s="14" t="s">
        <v>69</v>
      </c>
      <c r="B49" s="52">
        <v>7822.79139597833</v>
      </c>
      <c r="C49" s="52">
        <v>11605.5530964393</v>
      </c>
      <c r="E49" s="52"/>
    </row>
    <row r="50" ht="13.5" customHeight="1">
      <c r="A50" s="14" t="s">
        <v>70</v>
      </c>
      <c r="B50" s="52">
        <v>7839.88947576689</v>
      </c>
      <c r="C50" s="52">
        <v>11583.7866517777</v>
      </c>
      <c r="E50" s="52"/>
    </row>
    <row r="51" ht="13.5" customHeight="1">
      <c r="A51" s="14" t="s">
        <v>71</v>
      </c>
      <c r="B51" s="52">
        <v>7853.00454540288</v>
      </c>
      <c r="C51" s="52">
        <v>11600.0789696564</v>
      </c>
      <c r="E51" s="52"/>
    </row>
    <row r="52" ht="13.5" customHeight="1">
      <c r="A52" s="14" t="s">
        <v>72</v>
      </c>
      <c r="B52" s="52">
        <v>7912.50997882135</v>
      </c>
      <c r="C52" s="52">
        <v>11661.2686778671</v>
      </c>
      <c r="E52" s="52"/>
    </row>
    <row r="53" ht="13.5" customHeight="1">
      <c r="A53" s="14" t="s">
        <v>73</v>
      </c>
      <c r="B53" s="52">
        <v>8025.24287120119</v>
      </c>
      <c r="C53" s="52">
        <v>11818.6381038109</v>
      </c>
      <c r="E53" s="52"/>
    </row>
    <row r="54" ht="13.5" customHeight="1">
      <c r="A54" s="14" t="s">
        <v>74</v>
      </c>
      <c r="B54" s="52">
        <v>8009.31065140176</v>
      </c>
      <c r="C54" s="52">
        <v>11777.1351686938</v>
      </c>
      <c r="E54" s="52"/>
    </row>
    <row r="55" ht="13.5" customHeight="1">
      <c r="A55" s="14" t="s">
        <v>75</v>
      </c>
      <c r="B55" s="52">
        <v>8063.96647739955</v>
      </c>
      <c r="C55" s="52">
        <v>11830.544471292</v>
      </c>
      <c r="E55" s="52"/>
    </row>
    <row r="56" ht="13.5" customHeight="1">
      <c r="A56" s="14" t="s">
        <v>76</v>
      </c>
      <c r="B56" s="52">
        <v>8099.37321819221</v>
      </c>
      <c r="C56" s="52">
        <v>11876.2744411568</v>
      </c>
      <c r="E56" s="52"/>
    </row>
    <row r="57" ht="13.5" customHeight="1">
      <c r="A57" s="14" t="s">
        <v>77</v>
      </c>
      <c r="B57" s="52">
        <v>8123.0298900571</v>
      </c>
      <c r="C57" s="52">
        <v>11909.5933676137</v>
      </c>
      <c r="E57" s="52"/>
    </row>
    <row r="58" ht="13.5" customHeight="1">
      <c r="A58" s="14" t="s">
        <v>78</v>
      </c>
      <c r="B58" s="52">
        <v>8171.82089174829</v>
      </c>
      <c r="C58" s="52">
        <v>11957.7348673576</v>
      </c>
      <c r="E58" s="52"/>
    </row>
    <row r="59" ht="13.5" customHeight="1">
      <c r="A59" s="14" t="s">
        <v>79</v>
      </c>
      <c r="B59" s="52">
        <v>8250.67717961308</v>
      </c>
      <c r="C59" s="52">
        <v>12038.9533847082</v>
      </c>
      <c r="E59" s="52"/>
    </row>
    <row r="60" ht="13.5" customHeight="1">
      <c r="A60" s="14" t="s">
        <v>80</v>
      </c>
      <c r="B60" s="52">
        <v>8281.81705029559</v>
      </c>
      <c r="C60" s="52">
        <v>12061.7125320966</v>
      </c>
      <c r="E60" s="52"/>
    </row>
    <row r="61" ht="13.5" customHeight="1">
      <c r="A61" s="14" t="s">
        <v>81</v>
      </c>
      <c r="B61" s="52">
        <v>8246.81877009808</v>
      </c>
      <c r="C61" s="52">
        <v>12013.985937246</v>
      </c>
      <c r="E61" s="52"/>
    </row>
    <row r="62" ht="13.5" customHeight="1">
      <c r="A62" s="14" t="s">
        <v>82</v>
      </c>
      <c r="B62" s="52">
        <v>8308.87238789967</v>
      </c>
      <c r="C62" s="52">
        <v>12085.3027962136</v>
      </c>
      <c r="E62" s="52"/>
    </row>
    <row r="63" ht="13.5" customHeight="1">
      <c r="A63" s="14" t="s">
        <v>83</v>
      </c>
      <c r="B63" s="52">
        <v>8385.60413779938</v>
      </c>
      <c r="C63" s="52">
        <v>12170.6565271583</v>
      </c>
      <c r="E63" s="52"/>
    </row>
    <row r="64" ht="13.5" customHeight="1">
      <c r="A64" s="14" t="s">
        <v>84</v>
      </c>
      <c r="B64" s="52">
        <v>8393.48847429976</v>
      </c>
      <c r="C64" s="52">
        <v>12091.7309446362</v>
      </c>
      <c r="E64" s="52"/>
    </row>
    <row r="65" ht="13.5" customHeight="1">
      <c r="A65" s="14" t="s">
        <v>85</v>
      </c>
      <c r="B65" s="52">
        <v>8511.35103232214</v>
      </c>
      <c r="C65" s="52">
        <v>12359.8416468976</v>
      </c>
      <c r="E65" s="52"/>
    </row>
    <row r="66" ht="13.5" customHeight="1">
      <c r="A66" s="14" t="s">
        <v>86</v>
      </c>
      <c r="B66" s="52">
        <v>8476.52371464962</v>
      </c>
      <c r="C66" s="52">
        <v>12240.8301831768</v>
      </c>
      <c r="E66" s="52"/>
    </row>
    <row r="67" ht="13.5" customHeight="1">
      <c r="A67" s="14" t="s">
        <v>87</v>
      </c>
      <c r="B67" s="52">
        <v>8568.60025303932</v>
      </c>
      <c r="C67" s="52">
        <v>12352.240589124</v>
      </c>
      <c r="E67" s="52"/>
    </row>
    <row r="68" ht="13.5" customHeight="1">
      <c r="A68" s="14" t="s">
        <v>88</v>
      </c>
      <c r="B68" s="52">
        <v>8620.36131778715</v>
      </c>
      <c r="C68" s="52">
        <v>12449.6821816996</v>
      </c>
      <c r="E68" s="52"/>
    </row>
    <row r="69" ht="13.5" customHeight="1">
      <c r="A69" s="14" t="s">
        <v>89</v>
      </c>
      <c r="B69" s="52">
        <v>8655.67728821012</v>
      </c>
      <c r="C69" s="52">
        <v>12482.0285570114</v>
      </c>
      <c r="E69" s="52"/>
    </row>
    <row r="70" ht="13.5" customHeight="1">
      <c r="A70" s="14" t="s">
        <v>90</v>
      </c>
      <c r="B70" s="52">
        <v>8712.43039400814</v>
      </c>
      <c r="C70" s="52">
        <v>12482.5934048584</v>
      </c>
      <c r="E70" s="52"/>
    </row>
    <row r="71" ht="13.5" customHeight="1">
      <c r="A71" s="14" t="s">
        <v>91</v>
      </c>
      <c r="B71" s="52">
        <v>8748.29012961648</v>
      </c>
      <c r="C71" s="52">
        <v>12563.1006054073</v>
      </c>
      <c r="E71" s="52"/>
    </row>
    <row r="72" ht="13.5" customHeight="1">
      <c r="A72" s="14" t="s">
        <v>92</v>
      </c>
      <c r="B72" s="52">
        <v>8736.39791062776</v>
      </c>
      <c r="C72" s="52">
        <v>12535.8639227228</v>
      </c>
      <c r="E72" s="52"/>
    </row>
    <row r="73" ht="13.5" customHeight="1">
      <c r="A73" s="14" t="s">
        <v>93</v>
      </c>
      <c r="B73" s="52">
        <v>8813.03295975083</v>
      </c>
      <c r="C73" s="52">
        <v>12634.7487409302</v>
      </c>
      <c r="E73" s="52"/>
    </row>
    <row r="74" ht="13.5" customHeight="1">
      <c r="A74" s="14" t="s">
        <v>94</v>
      </c>
      <c r="B74" s="52">
        <v>8772.6827439555</v>
      </c>
      <c r="C74" s="52">
        <v>12571.1608710418</v>
      </c>
      <c r="E74" s="52"/>
    </row>
    <row r="75" ht="13.5" customHeight="1">
      <c r="A75" s="14" t="s">
        <v>95</v>
      </c>
      <c r="B75" s="52">
        <v>8894.56167758816</v>
      </c>
      <c r="C75" s="52">
        <v>12753.6965533749</v>
      </c>
      <c r="E75" s="52"/>
    </row>
    <row r="76" ht="13.5" customHeight="1">
      <c r="A76" s="14" t="s">
        <v>96</v>
      </c>
      <c r="B76" s="52">
        <v>8932.19557845419</v>
      </c>
      <c r="C76" s="52">
        <v>12787.5055348081</v>
      </c>
      <c r="E76" s="52"/>
    </row>
    <row r="77" ht="13.5" customHeight="1">
      <c r="A77" s="14" t="s">
        <v>97</v>
      </c>
      <c r="B77" s="52">
        <v>8925.48159447144</v>
      </c>
      <c r="C77" s="52">
        <v>12761.5558415782</v>
      </c>
      <c r="E77" s="52"/>
    </row>
    <row r="78" ht="13.5" customHeight="1">
      <c r="A78" s="14" t="s">
        <v>98</v>
      </c>
      <c r="B78" s="52">
        <v>8953.15480342954</v>
      </c>
      <c r="C78" s="52">
        <v>12795.0206409261</v>
      </c>
      <c r="E78" s="52"/>
    </row>
    <row r="79" ht="13.5" customHeight="1">
      <c r="A79" s="14" t="s">
        <v>99</v>
      </c>
      <c r="B79" s="52">
        <v>9030.46060209572</v>
      </c>
      <c r="C79" s="52">
        <v>12908.3361087686</v>
      </c>
      <c r="E79" s="52"/>
    </row>
    <row r="80" ht="13.5" customHeight="1">
      <c r="A80" s="14" t="s">
        <v>100</v>
      </c>
      <c r="B80" s="52">
        <v>9049.66849778073</v>
      </c>
      <c r="C80" s="52">
        <v>12879.5579254741</v>
      </c>
      <c r="E80" s="52"/>
    </row>
    <row r="81" ht="13.5" customHeight="1">
      <c r="A81" s="14" t="s">
        <v>101</v>
      </c>
      <c r="B81" s="52">
        <v>9100.80716963029</v>
      </c>
      <c r="C81" s="52">
        <v>12947.8935549118</v>
      </c>
      <c r="E81" s="52"/>
    </row>
    <row r="82" ht="13.5" customHeight="1">
      <c r="A82" s="14" t="s">
        <v>102</v>
      </c>
      <c r="B82" s="52">
        <v>9212.81533258793</v>
      </c>
      <c r="C82" s="52">
        <v>13121.4646956408</v>
      </c>
      <c r="E82" s="52"/>
    </row>
    <row r="83" ht="13.5" customHeight="1">
      <c r="A83" s="14" t="s">
        <v>103</v>
      </c>
      <c r="B83" s="52">
        <v>9266.8116239861</v>
      </c>
      <c r="C83" s="52">
        <v>13165.8822582524</v>
      </c>
      <c r="E83" s="52"/>
    </row>
    <row r="84" ht="13.5" customHeight="1">
      <c r="A84" s="14" t="s">
        <v>104</v>
      </c>
      <c r="B84" s="52">
        <v>9307.05188886045</v>
      </c>
      <c r="C84" s="52">
        <v>13218.8011198104</v>
      </c>
      <c r="E84" s="52"/>
    </row>
    <row r="85" ht="13.5" customHeight="1">
      <c r="A85" s="14" t="s">
        <v>105</v>
      </c>
      <c r="B85" s="52">
        <v>9308.10948715037</v>
      </c>
      <c r="C85" s="52">
        <v>13190.9559408397</v>
      </c>
      <c r="E85" s="52"/>
    </row>
    <row r="86" ht="13.5" customHeight="1">
      <c r="A86" s="14" t="s">
        <v>106</v>
      </c>
      <c r="B86" s="52">
        <v>9357.8058995304</v>
      </c>
      <c r="C86" s="52">
        <v>13223.6981214547</v>
      </c>
      <c r="E86" s="52"/>
    </row>
    <row r="87" ht="13.5" customHeight="1">
      <c r="A87" s="14" t="s">
        <v>107</v>
      </c>
      <c r="B87" s="52">
        <v>9410.99494399226</v>
      </c>
      <c r="C87" s="52">
        <v>13327.5548832314</v>
      </c>
      <c r="E87" s="52"/>
    </row>
    <row r="88" ht="13.5" customHeight="1">
      <c r="A88" s="14" t="s">
        <v>108</v>
      </c>
      <c r="B88" s="52">
        <v>9466.24515647639</v>
      </c>
      <c r="C88" s="52">
        <v>13396.192139915</v>
      </c>
      <c r="E88" s="52"/>
    </row>
    <row r="89" ht="13.5" customHeight="1">
      <c r="A89" s="14" t="s">
        <v>109</v>
      </c>
      <c r="B89" s="52">
        <v>9496.04951392489</v>
      </c>
      <c r="C89" s="52">
        <v>13396.3819121837</v>
      </c>
      <c r="E89" s="52"/>
    </row>
    <row r="90" ht="13.5" customHeight="1">
      <c r="A90" s="14" t="s">
        <v>110</v>
      </c>
      <c r="B90" s="52">
        <v>9536.80898050378</v>
      </c>
      <c r="C90" s="52">
        <v>13442.8506596857</v>
      </c>
      <c r="E90" s="52"/>
    </row>
    <row r="91" ht="13.5" customHeight="1">
      <c r="A91" s="14" t="s">
        <v>111</v>
      </c>
      <c r="B91" s="52">
        <v>9545.77150556933</v>
      </c>
      <c r="C91" s="52">
        <v>13441.7477686746</v>
      </c>
      <c r="E91" s="52"/>
    </row>
    <row r="92" ht="13.5" customHeight="1">
      <c r="A92" s="14" t="s">
        <v>112</v>
      </c>
      <c r="B92" s="52">
        <v>9659.09117810261</v>
      </c>
      <c r="C92" s="52">
        <v>13562.3796193382</v>
      </c>
      <c r="E92" s="52"/>
    </row>
    <row r="93" ht="13.5" customHeight="1">
      <c r="A93" s="14" t="s">
        <v>113</v>
      </c>
      <c r="B93" s="52">
        <v>9660.70280131764</v>
      </c>
      <c r="C93" s="52">
        <v>13601.7496450199</v>
      </c>
      <c r="E93" s="52"/>
    </row>
    <row r="94" ht="13.5" customHeight="1">
      <c r="A94" s="14" t="s">
        <v>114</v>
      </c>
      <c r="B94" s="52">
        <v>9740.08402057594</v>
      </c>
      <c r="C94" s="52">
        <v>13650.8615046067</v>
      </c>
      <c r="E94" s="52"/>
    </row>
    <row r="95" ht="13.5" customHeight="1">
      <c r="A95" s="14" t="s">
        <v>115</v>
      </c>
      <c r="B95" s="52">
        <v>9819.71595137801</v>
      </c>
      <c r="C95" s="52">
        <v>13720.4820104407</v>
      </c>
      <c r="E95" s="52"/>
    </row>
    <row r="96" ht="13.5" customHeight="1">
      <c r="A96" s="14" t="s">
        <v>116</v>
      </c>
      <c r="B96" s="52">
        <v>9890.74619293729</v>
      </c>
      <c r="C96" s="52">
        <v>13811.9676931778</v>
      </c>
      <c r="E96" s="52"/>
    </row>
    <row r="97" ht="13.5" customHeight="1">
      <c r="A97" s="14" t="s">
        <v>117</v>
      </c>
      <c r="B97" s="52">
        <v>9990.04485568232</v>
      </c>
      <c r="C97" s="52">
        <v>13951.8411053785</v>
      </c>
      <c r="E97" s="52"/>
    </row>
    <row r="98" ht="13.5" customHeight="1">
      <c r="A98" s="14" t="s">
        <v>118</v>
      </c>
      <c r="B98" s="52">
        <v>9924.27079946884</v>
      </c>
      <c r="C98" s="52">
        <v>13812.3559581967</v>
      </c>
      <c r="E98" s="52"/>
    </row>
    <row r="99" ht="13.5" customHeight="1">
      <c r="A99" s="14" t="s">
        <v>119</v>
      </c>
      <c r="B99" s="52">
        <v>9995.3267303335</v>
      </c>
      <c r="C99" s="52">
        <v>13871.5040529127</v>
      </c>
      <c r="E99" s="52"/>
    </row>
    <row r="100" ht="13.5" customHeight="1">
      <c r="A100" s="14" t="s">
        <v>120</v>
      </c>
      <c r="B100" s="52">
        <v>10086.939470201</v>
      </c>
      <c r="C100" s="52">
        <v>13951.0558042469</v>
      </c>
      <c r="E100" s="52"/>
    </row>
    <row r="101" ht="13.5" customHeight="1">
      <c r="A101" s="14" t="s">
        <v>121</v>
      </c>
      <c r="B101" s="52">
        <v>10224.8123061247</v>
      </c>
      <c r="C101" s="52">
        <v>14133.1789658866</v>
      </c>
      <c r="E101" s="52"/>
    </row>
    <row r="102" ht="13.5" customHeight="1">
      <c r="A102" s="14" t="s">
        <v>122</v>
      </c>
      <c r="B102" s="52">
        <v>10232.0529424829</v>
      </c>
      <c r="C102" s="52">
        <v>14113.4449006819</v>
      </c>
      <c r="E102" s="52"/>
    </row>
    <row r="103" ht="13.5" customHeight="1">
      <c r="A103" s="14" t="s">
        <v>123</v>
      </c>
      <c r="B103" s="52">
        <v>10286.2947513887</v>
      </c>
      <c r="C103" s="52">
        <v>14146.449666075</v>
      </c>
      <c r="E103" s="52"/>
    </row>
    <row r="104" ht="13.5" customHeight="1">
      <c r="A104" s="14" t="s">
        <v>124</v>
      </c>
      <c r="B104" s="52">
        <v>10234.1880894351</v>
      </c>
      <c r="C104" s="52">
        <v>14056.7015818489</v>
      </c>
      <c r="E104" s="52"/>
    </row>
    <row r="105" ht="13.5" customHeight="1">
      <c r="A105" s="14" t="s">
        <v>125</v>
      </c>
      <c r="B105" s="52">
        <v>10336.0737722984</v>
      </c>
      <c r="C105" s="52">
        <v>14171.4485710881</v>
      </c>
      <c r="E105" s="52"/>
    </row>
    <row r="106" ht="13.5" customHeight="1">
      <c r="A106" s="14" t="s">
        <v>126</v>
      </c>
      <c r="B106" s="52">
        <v>10384.2331382714</v>
      </c>
      <c r="C106" s="52">
        <v>14208.0210077231</v>
      </c>
      <c r="E106" s="52"/>
    </row>
    <row r="107" ht="13.5" customHeight="1">
      <c r="A107" s="14" t="s">
        <v>127</v>
      </c>
      <c r="B107" s="52">
        <v>10435.2457768324</v>
      </c>
      <c r="C107" s="52">
        <v>14247.1414150562</v>
      </c>
      <c r="E107" s="52"/>
    </row>
    <row r="108" ht="13.5" customHeight="1">
      <c r="A108" s="14" t="s">
        <v>128</v>
      </c>
      <c r="B108" s="52">
        <v>10445.448300272</v>
      </c>
      <c r="C108" s="52">
        <v>14232.528319957</v>
      </c>
      <c r="E108" s="52"/>
    </row>
    <row r="109" ht="13.5" customHeight="1">
      <c r="A109" s="14" t="s">
        <v>129</v>
      </c>
      <c r="B109" s="52">
        <v>10426.5379228941</v>
      </c>
      <c r="C109" s="52">
        <v>14210.5493043253</v>
      </c>
      <c r="E109" s="52"/>
    </row>
    <row r="110" ht="13.5" customHeight="1">
      <c r="A110" s="14" t="s">
        <v>130</v>
      </c>
      <c r="B110" s="52">
        <v>10467.6887258382</v>
      </c>
      <c r="C110" s="52">
        <v>14214.4961115852</v>
      </c>
      <c r="E110" s="52"/>
    </row>
    <row r="111" ht="13.5" customHeight="1">
      <c r="A111" s="14" t="s">
        <v>131</v>
      </c>
      <c r="B111" s="52">
        <v>10462.9949800976</v>
      </c>
      <c r="C111" s="52">
        <v>14185.2668857742</v>
      </c>
      <c r="E111" s="52"/>
    </row>
    <row r="112" ht="13.5" customHeight="1">
      <c r="A112" s="14" t="s">
        <v>132</v>
      </c>
      <c r="B112" s="52">
        <v>10480.0092940503</v>
      </c>
      <c r="C112" s="52">
        <v>14151.0252259131</v>
      </c>
      <c r="E112" s="52"/>
    </row>
    <row r="113" ht="13.5" customHeight="1">
      <c r="A113" s="14" t="s">
        <v>133</v>
      </c>
      <c r="B113" s="52">
        <v>10565.3494021752</v>
      </c>
      <c r="C113" s="52">
        <v>14259.7534429047</v>
      </c>
      <c r="E113" s="52"/>
    </row>
    <row r="114" ht="13.5" customHeight="1">
      <c r="A114" s="14" t="s">
        <v>134</v>
      </c>
      <c r="B114" s="52">
        <v>10639.9840935055</v>
      </c>
      <c r="C114" s="52">
        <v>14328.0025024974</v>
      </c>
      <c r="E114" s="52"/>
    </row>
    <row r="115" ht="13.5" customHeight="1">
      <c r="A115" s="14" t="s">
        <v>135</v>
      </c>
      <c r="B115" s="52">
        <v>10591.6665043149</v>
      </c>
      <c r="C115" s="52">
        <v>14228.876450776</v>
      </c>
      <c r="E115" s="52"/>
    </row>
    <row r="116" ht="13.5" customHeight="1">
      <c r="A116" s="14" t="s">
        <v>136</v>
      </c>
      <c r="B116" s="52">
        <v>10585.0781243455</v>
      </c>
      <c r="C116" s="52">
        <v>14183.2190029201</v>
      </c>
      <c r="E116" s="52"/>
    </row>
    <row r="117" ht="13.5" customHeight="1">
      <c r="A117" s="14" t="s">
        <v>137</v>
      </c>
      <c r="B117" s="52">
        <v>10699.2685902169</v>
      </c>
      <c r="C117" s="52">
        <v>14347.2576882214</v>
      </c>
      <c r="E117" s="52"/>
    </row>
    <row r="118" ht="13.5" customHeight="1">
      <c r="A118" s="14" t="s">
        <v>138</v>
      </c>
      <c r="B118" s="52">
        <v>10509.7132854482</v>
      </c>
      <c r="C118" s="52">
        <v>14114.5037151287</v>
      </c>
      <c r="E118" s="52"/>
    </row>
    <row r="119" ht="13.5" customHeight="1">
      <c r="A119" s="14" t="s">
        <v>139</v>
      </c>
      <c r="B119" s="52">
        <v>10639.8129855107</v>
      </c>
      <c r="C119" s="52">
        <v>14235.1918699104</v>
      </c>
      <c r="E119" s="52"/>
    </row>
    <row r="120" ht="13.5" customHeight="1">
      <c r="A120" s="14" t="s">
        <v>140</v>
      </c>
      <c r="B120" s="52">
        <v>10587.6521098051</v>
      </c>
      <c r="C120" s="52">
        <v>14159.3510730466</v>
      </c>
      <c r="E120" s="52"/>
    </row>
    <row r="121" ht="13.5" customHeight="1">
      <c r="A121" s="14" t="s">
        <v>141</v>
      </c>
      <c r="B121" s="52">
        <v>10753.9299046647</v>
      </c>
      <c r="C121" s="52">
        <v>14367.9431078272</v>
      </c>
      <c r="E121" s="52"/>
    </row>
    <row r="122" ht="13.5" customHeight="1">
      <c r="A122" s="14" t="s">
        <v>142</v>
      </c>
      <c r="B122" s="52">
        <v>10786.8595517462</v>
      </c>
      <c r="C122" s="52">
        <v>14408.6369443423</v>
      </c>
      <c r="E122" s="52"/>
    </row>
    <row r="123" ht="13.5" customHeight="1">
      <c r="A123" s="14" t="s">
        <v>143</v>
      </c>
      <c r="B123" s="52">
        <v>10748.9141325228</v>
      </c>
      <c r="C123" s="52">
        <v>14322.7075406745</v>
      </c>
      <c r="E123" s="52"/>
    </row>
    <row r="124" ht="13.5" customHeight="1">
      <c r="A124" s="14" t="s">
        <v>144</v>
      </c>
      <c r="B124" s="52">
        <v>10814.7263157193</v>
      </c>
      <c r="C124" s="52">
        <v>14388.8422963718</v>
      </c>
      <c r="E124" s="52"/>
    </row>
    <row r="125" ht="13.5" customHeight="1">
      <c r="A125" s="14" t="s">
        <v>145</v>
      </c>
      <c r="B125" s="52">
        <v>10858.4497074841</v>
      </c>
      <c r="C125" s="52">
        <v>14444.8776230442</v>
      </c>
      <c r="E125" s="52"/>
    </row>
    <row r="126" ht="13.5" customHeight="1">
      <c r="A126" s="14" t="s">
        <v>146</v>
      </c>
      <c r="B126" s="52">
        <v>10870.0432584175</v>
      </c>
      <c r="C126" s="52">
        <v>14442.4967630513</v>
      </c>
      <c r="E126" s="52"/>
    </row>
    <row r="127" ht="13.5" customHeight="1">
      <c r="A127" s="14" t="s">
        <v>147</v>
      </c>
      <c r="B127" s="52">
        <v>10933.887034095</v>
      </c>
      <c r="C127" s="52">
        <v>14496.9738016164</v>
      </c>
      <c r="E127" s="52"/>
    </row>
    <row r="128" ht="13.5" customHeight="1">
      <c r="A128" s="14" t="s">
        <v>148</v>
      </c>
      <c r="B128" s="52">
        <v>11001.8309423552</v>
      </c>
      <c r="C128" s="52">
        <v>14575.243805222</v>
      </c>
      <c r="E128" s="52"/>
    </row>
    <row r="129" ht="13.5" customHeight="1">
      <c r="A129" s="14" t="s">
        <v>149</v>
      </c>
      <c r="B129" s="52">
        <v>10952.3373312927</v>
      </c>
      <c r="C129" s="52">
        <v>14491.4478985792</v>
      </c>
      <c r="E129" s="52"/>
    </row>
    <row r="130" ht="13.5" customHeight="1">
      <c r="A130" s="14" t="s">
        <v>150</v>
      </c>
      <c r="B130" s="52">
        <v>10997.9517263553</v>
      </c>
      <c r="C130" s="52">
        <v>14493.7666402999</v>
      </c>
      <c r="E130" s="52"/>
    </row>
    <row r="131" ht="13.5" customHeight="1">
      <c r="A131" s="14" t="s">
        <v>151</v>
      </c>
      <c r="B131" s="52">
        <v>10999.0722368119</v>
      </c>
      <c r="C131" s="52">
        <v>14481.0837560648</v>
      </c>
      <c r="E131" s="52"/>
    </row>
    <row r="132" ht="13.5" customHeight="1">
      <c r="A132" s="14" t="s">
        <v>152</v>
      </c>
      <c r="B132" s="52">
        <v>11053.2427192629</v>
      </c>
      <c r="C132" s="52">
        <v>14523.6444338668</v>
      </c>
      <c r="E132" s="52"/>
    </row>
    <row r="133" ht="13.5" customHeight="1">
      <c r="A133" s="14" t="s">
        <v>153</v>
      </c>
      <c r="B133" s="52">
        <v>11131.9840439207</v>
      </c>
      <c r="C133" s="52">
        <v>14609.3340233078</v>
      </c>
      <c r="E133" s="52"/>
    </row>
    <row r="134" ht="13.5" customHeight="1">
      <c r="A134" s="14" t="s">
        <v>154</v>
      </c>
      <c r="B134" s="52">
        <v>11135.8267140763</v>
      </c>
      <c r="C134" s="52">
        <v>14595.8755795933</v>
      </c>
      <c r="E134" s="52"/>
    </row>
    <row r="135" ht="13.5" customHeight="1">
      <c r="A135" s="14" t="s">
        <v>155</v>
      </c>
      <c r="B135" s="52">
        <v>11210.3664432351</v>
      </c>
      <c r="C135" s="52">
        <v>14652.4084755786</v>
      </c>
      <c r="E135" s="52"/>
    </row>
    <row r="136" ht="13.5" customHeight="1">
      <c r="A136" s="14" t="s">
        <v>156</v>
      </c>
      <c r="B136" s="52">
        <v>11176.1938426859</v>
      </c>
      <c r="C136" s="52">
        <v>14595.6725845013</v>
      </c>
      <c r="E136" s="52"/>
    </row>
    <row r="137" ht="13.5" customHeight="1">
      <c r="A137" s="14" t="s">
        <v>157</v>
      </c>
      <c r="B137" s="52">
        <v>11256.9872688351</v>
      </c>
      <c r="C137" s="52">
        <v>14673.5227093003</v>
      </c>
      <c r="E137" s="52"/>
    </row>
    <row r="138" ht="13.5" customHeight="1">
      <c r="A138" s="14" t="s">
        <v>158</v>
      </c>
      <c r="B138" s="52">
        <v>11275.2073954916</v>
      </c>
      <c r="C138" s="52">
        <v>14690.0889336823</v>
      </c>
      <c r="E138" s="52"/>
    </row>
    <row r="139" ht="13.5" customHeight="1">
      <c r="A139" s="14" t="s">
        <v>159</v>
      </c>
      <c r="B139" s="52">
        <v>11406.1033356163</v>
      </c>
      <c r="C139" s="52">
        <v>14869.0013012544</v>
      </c>
      <c r="E139" s="52"/>
    </row>
    <row r="140" ht="13.5" customHeight="1">
      <c r="A140" s="14" t="s">
        <v>160</v>
      </c>
      <c r="B140" s="52">
        <v>11468.5957579188</v>
      </c>
      <c r="C140" s="52">
        <v>14910.2204787333</v>
      </c>
      <c r="E140" s="52"/>
    </row>
    <row r="141" ht="13.5" customHeight="1">
      <c r="A141" s="14" t="s">
        <v>161</v>
      </c>
      <c r="B141" s="52">
        <v>11567.4997566272</v>
      </c>
      <c r="C141" s="52">
        <v>14985.293676558</v>
      </c>
      <c r="E141" s="52"/>
    </row>
    <row r="142" ht="13.5" customHeight="1">
      <c r="A142" s="14" t="s">
        <v>162</v>
      </c>
      <c r="B142" s="52">
        <v>11663.9114853479</v>
      </c>
      <c r="C142" s="52">
        <v>15072.8172453193</v>
      </c>
      <c r="E142" s="52"/>
    </row>
    <row r="143" ht="13.5" customHeight="1">
      <c r="A143" s="14" t="s">
        <v>163</v>
      </c>
      <c r="B143" s="52">
        <v>11699.7696519141</v>
      </c>
      <c r="C143" s="52">
        <v>15093.0266473801</v>
      </c>
      <c r="E143" s="52"/>
    </row>
    <row r="144" ht="13.5" customHeight="1">
      <c r="A144" s="14" t="s">
        <v>164</v>
      </c>
      <c r="B144" s="52">
        <v>11786.1157219215</v>
      </c>
      <c r="C144" s="52">
        <v>15181.9415782831</v>
      </c>
      <c r="E144" s="52"/>
    </row>
    <row r="145" ht="13.5" customHeight="1">
      <c r="A145" s="14" t="s">
        <v>165</v>
      </c>
      <c r="B145" s="52">
        <v>11830.8166261513</v>
      </c>
      <c r="C145" s="52">
        <v>15215.2397129054</v>
      </c>
      <c r="E145" s="52"/>
    </row>
    <row r="146" ht="13.5" customHeight="1">
      <c r="A146" s="14" t="s">
        <v>166</v>
      </c>
      <c r="B146" s="52">
        <v>11805.9384546233</v>
      </c>
      <c r="C146" s="52">
        <v>15134.3648112076</v>
      </c>
      <c r="E146" s="52"/>
    </row>
    <row r="147" ht="13.5" customHeight="1">
      <c r="A147" s="14" t="s">
        <v>167</v>
      </c>
      <c r="B147" s="52">
        <v>11926.5096809555</v>
      </c>
      <c r="C147" s="52">
        <v>15258.4710725906</v>
      </c>
      <c r="E147" s="52"/>
    </row>
    <row r="148" ht="13.5" customHeight="1">
      <c r="A148" s="14" t="s">
        <v>168</v>
      </c>
      <c r="B148" s="52">
        <v>12037.8928644542</v>
      </c>
      <c r="C148" s="52">
        <v>15355.1410255981</v>
      </c>
      <c r="E148" s="52"/>
    </row>
    <row r="149" ht="13.5" customHeight="1">
      <c r="A149" s="14" t="s">
        <v>169</v>
      </c>
      <c r="B149" s="52">
        <v>12036.1190894686</v>
      </c>
      <c r="C149" s="52">
        <v>15311.3516790345</v>
      </c>
      <c r="E149" s="52"/>
    </row>
    <row r="150" ht="13.5" customHeight="1">
      <c r="A150" s="14" t="s">
        <v>170</v>
      </c>
      <c r="B150" s="52">
        <v>12175.7352555706</v>
      </c>
      <c r="C150" s="52">
        <v>15446.4311383487</v>
      </c>
      <c r="E150" s="52"/>
    </row>
    <row r="151" ht="13.5" customHeight="1">
      <c r="A151" s="14" t="s">
        <v>171</v>
      </c>
      <c r="B151" s="52">
        <v>12126.5906549609</v>
      </c>
      <c r="C151" s="52">
        <v>15344.785759836</v>
      </c>
      <c r="E151" s="52"/>
    </row>
    <row r="152" ht="13.5" customHeight="1">
      <c r="A152" s="14" t="s">
        <v>172</v>
      </c>
      <c r="B152" s="52">
        <v>12279.3834238488</v>
      </c>
      <c r="C152" s="52">
        <v>15482.6463996416</v>
      </c>
      <c r="E152" s="52"/>
    </row>
    <row r="153" ht="13.5" customHeight="1">
      <c r="A153" s="14" t="s">
        <v>173</v>
      </c>
      <c r="B153" s="52">
        <v>12300.5245351563</v>
      </c>
      <c r="C153" s="52">
        <v>15520.9821466311</v>
      </c>
      <c r="E153" s="52"/>
    </row>
    <row r="154" ht="13.5" customHeight="1">
      <c r="A154" s="14" t="s">
        <v>174</v>
      </c>
      <c r="B154" s="52">
        <v>12336.0130410565</v>
      </c>
      <c r="C154" s="52">
        <v>15536.2812473953</v>
      </c>
      <c r="E154" s="52"/>
    </row>
    <row r="155" ht="13.5" customHeight="1">
      <c r="A155" s="14" t="s">
        <v>175</v>
      </c>
      <c r="B155" s="52">
        <v>12471.3971224239</v>
      </c>
      <c r="C155" s="52">
        <v>15653.4314249216</v>
      </c>
      <c r="E155" s="52"/>
    </row>
    <row r="156" ht="13.5" customHeight="1">
      <c r="A156" s="14" t="s">
        <v>176</v>
      </c>
      <c r="B156" s="52">
        <v>12514.8543615809</v>
      </c>
      <c r="C156" s="52">
        <v>15649.5577484736</v>
      </c>
      <c r="E156" s="52"/>
    </row>
    <row r="157" ht="13.5" customHeight="1">
      <c r="A157" s="14" t="s">
        <v>177</v>
      </c>
      <c r="B157" s="52">
        <v>12595.3905159362</v>
      </c>
      <c r="C157" s="52">
        <v>15711.7079819668</v>
      </c>
      <c r="E157" s="52"/>
    </row>
    <row r="158" ht="13.5" customHeight="1">
      <c r="A158" s="14" t="s">
        <v>178</v>
      </c>
      <c r="B158" s="52">
        <v>12747.9504839283</v>
      </c>
      <c r="C158" s="52">
        <v>15854.692682103</v>
      </c>
      <c r="E158" s="52"/>
    </row>
    <row r="159" ht="13.5" customHeight="1">
      <c r="A159" s="14" t="s">
        <v>179</v>
      </c>
      <c r="B159" s="52">
        <v>12751.1023606365</v>
      </c>
      <c r="C159" s="52">
        <v>15826.0763566774</v>
      </c>
      <c r="E159" s="52"/>
    </row>
    <row r="160" ht="13.5" customHeight="1">
      <c r="A160" s="14" t="s">
        <v>180</v>
      </c>
      <c r="B160" s="52">
        <v>12802.8051553526</v>
      </c>
      <c r="C160" s="52">
        <v>15855.5121860812</v>
      </c>
      <c r="E160" s="52"/>
    </row>
    <row r="161" ht="13.5" customHeight="1">
      <c r="A161" s="14" t="s">
        <v>181</v>
      </c>
      <c r="B161" s="52">
        <v>12859.2890532292</v>
      </c>
      <c r="C161" s="52">
        <v>15896.6841191986</v>
      </c>
      <c r="E161" s="52"/>
    </row>
    <row r="162" ht="13.5" customHeight="1">
      <c r="A162" s="14" t="s">
        <v>182</v>
      </c>
      <c r="B162" s="52">
        <v>12881.9098254739</v>
      </c>
      <c r="C162" s="52">
        <v>15863.330834078</v>
      </c>
      <c r="E162" s="52"/>
    </row>
    <row r="163" ht="13.5" customHeight="1">
      <c r="A163" s="14" t="s">
        <v>183</v>
      </c>
      <c r="B163" s="52">
        <v>13026.7691213506</v>
      </c>
      <c r="C163" s="52">
        <v>16010.3383044725</v>
      </c>
      <c r="E163" s="52"/>
    </row>
    <row r="164" ht="13.5" customHeight="1">
      <c r="A164" s="14" t="s">
        <v>184</v>
      </c>
      <c r="B164" s="52">
        <v>13096.0679245161</v>
      </c>
      <c r="C164" s="52">
        <v>16037.216418451</v>
      </c>
      <c r="E164" s="52"/>
    </row>
    <row r="165" ht="13.5" customHeight="1">
      <c r="A165" s="14" t="s">
        <v>185</v>
      </c>
      <c r="B165" s="52">
        <v>13153.2238803498</v>
      </c>
      <c r="C165" s="52">
        <v>16078.0891106803</v>
      </c>
      <c r="E165" s="52"/>
    </row>
    <row r="166" ht="13.5" customHeight="1">
      <c r="A166" s="14" t="s">
        <v>186</v>
      </c>
      <c r="B166" s="52">
        <v>13178.6341951695</v>
      </c>
      <c r="C166" s="52">
        <v>16029.5066977257</v>
      </c>
      <c r="E166" s="52"/>
    </row>
    <row r="167" ht="13.5" customHeight="1">
      <c r="A167" s="14" t="s">
        <v>187</v>
      </c>
      <c r="B167" s="52">
        <v>13235.1188787337</v>
      </c>
      <c r="C167" s="52">
        <v>16064.1565608475</v>
      </c>
      <c r="E167" s="52"/>
    </row>
    <row r="168" ht="13.5" customHeight="1">
      <c r="A168" s="14" t="s">
        <v>188</v>
      </c>
      <c r="B168" s="52">
        <v>13300.2741624182</v>
      </c>
      <c r="C168" s="52">
        <v>16112.8852821549</v>
      </c>
      <c r="E168" s="52"/>
    </row>
    <row r="169" ht="13.5" customHeight="1">
      <c r="A169" s="14" t="s">
        <v>189</v>
      </c>
      <c r="B169" s="52">
        <v>13437.2189587989</v>
      </c>
      <c r="C169" s="52">
        <v>16235.1718705924</v>
      </c>
      <c r="E169" s="52"/>
    </row>
    <row r="170" ht="13.5" customHeight="1">
      <c r="A170" s="14" t="s">
        <v>190</v>
      </c>
      <c r="B170" s="52">
        <v>13517.441976704</v>
      </c>
      <c r="C170" s="52">
        <v>16315.466766446</v>
      </c>
      <c r="E170" s="52"/>
    </row>
    <row r="171" ht="13.5" customHeight="1">
      <c r="A171" s="14" t="s">
        <v>191</v>
      </c>
      <c r="B171" s="52">
        <v>13569.273201399</v>
      </c>
      <c r="C171" s="52">
        <v>16307.715869569</v>
      </c>
      <c r="E171" s="52"/>
    </row>
    <row r="172" ht="13.5" customHeight="1">
      <c r="A172" s="14" t="s">
        <v>192</v>
      </c>
      <c r="B172" s="52">
        <v>13710.7648218846</v>
      </c>
      <c r="C172" s="52">
        <v>16440.2840275206</v>
      </c>
      <c r="E172" s="52"/>
    </row>
    <row r="173" ht="13.5" customHeight="1">
      <c r="A173" s="14" t="s">
        <v>193</v>
      </c>
      <c r="B173" s="52">
        <v>13694.9602641884</v>
      </c>
      <c r="C173" s="52">
        <v>16369.9661229235</v>
      </c>
      <c r="E173" s="52"/>
    </row>
    <row r="174" ht="13.5" customHeight="1">
      <c r="A174" s="14" t="s">
        <v>194</v>
      </c>
      <c r="B174" s="52">
        <v>13782.6148414298</v>
      </c>
      <c r="C174" s="52">
        <v>16416.9256206135</v>
      </c>
      <c r="E174" s="52"/>
    </row>
    <row r="175" ht="13.5" customHeight="1">
      <c r="A175" s="14" t="s">
        <v>195</v>
      </c>
      <c r="B175" s="52">
        <v>13782.6968944046</v>
      </c>
      <c r="C175" s="52">
        <v>16403.6377552207</v>
      </c>
      <c r="E175" s="52"/>
    </row>
    <row r="176" ht="13.5" customHeight="1">
      <c r="A176" s="14" t="s">
        <v>196</v>
      </c>
      <c r="B176" s="52">
        <v>13791.1600034832</v>
      </c>
      <c r="C176" s="52">
        <v>16365.7676821143</v>
      </c>
      <c r="E176" s="52"/>
    </row>
    <row r="177" ht="13.5" customHeight="1">
      <c r="A177" s="14" t="s">
        <v>197</v>
      </c>
      <c r="B177" s="52">
        <v>13885.300788657</v>
      </c>
      <c r="C177" s="52">
        <v>16421.5623303938</v>
      </c>
      <c r="E177" s="52"/>
    </row>
    <row r="178" ht="13.5" customHeight="1">
      <c r="A178" s="14" t="s">
        <v>198</v>
      </c>
      <c r="B178" s="52">
        <v>13934.103207829</v>
      </c>
      <c r="C178" s="52">
        <v>16477.0694314354</v>
      </c>
      <c r="E178" s="52"/>
    </row>
    <row r="179" ht="13.5" customHeight="1">
      <c r="A179" s="14" t="s">
        <v>199</v>
      </c>
      <c r="B179" s="52">
        <v>13967.0513044721</v>
      </c>
      <c r="C179" s="52">
        <v>16489.365860447</v>
      </c>
      <c r="E179" s="52"/>
    </row>
    <row r="180" ht="13.5" customHeight="1">
      <c r="A180" s="14" t="s">
        <v>200</v>
      </c>
      <c r="B180" s="52">
        <v>14059.5507687518</v>
      </c>
      <c r="C180" s="52">
        <v>16600.847983485</v>
      </c>
      <c r="E180" s="52"/>
    </row>
    <row r="181" ht="13.5" customHeight="1">
      <c r="A181" s="14" t="s">
        <v>201</v>
      </c>
      <c r="B181" s="52">
        <v>14092.0779267644</v>
      </c>
      <c r="C181" s="52">
        <v>16597.5909418327</v>
      </c>
      <c r="E181" s="52"/>
    </row>
    <row r="182" ht="13.5" customHeight="1">
      <c r="A182" s="14" t="s">
        <v>202</v>
      </c>
      <c r="B182" s="52">
        <v>14134.0681177279</v>
      </c>
      <c r="C182" s="52">
        <v>16578.4702029703</v>
      </c>
      <c r="E182" s="52"/>
    </row>
    <row r="183" ht="13.5" customHeight="1">
      <c r="A183" s="14" t="s">
        <v>203</v>
      </c>
      <c r="B183" s="52">
        <v>14286.5181229665</v>
      </c>
      <c r="C183" s="52">
        <v>16680.7698304246</v>
      </c>
      <c r="E183" s="52"/>
    </row>
    <row r="184" ht="13.5" customHeight="1">
      <c r="A184" s="14" t="s">
        <v>204</v>
      </c>
      <c r="B184" s="52">
        <v>14226.3667592759</v>
      </c>
      <c r="C184" s="52">
        <v>16577.9144568301</v>
      </c>
      <c r="E184" s="52"/>
    </row>
    <row r="185" ht="13.5" customHeight="1">
      <c r="A185" s="14" t="s">
        <v>205</v>
      </c>
      <c r="B185" s="52">
        <v>14362.6291236581</v>
      </c>
      <c r="C185" s="52">
        <v>16711.3267396311</v>
      </c>
      <c r="E185" s="52"/>
    </row>
    <row r="186" ht="13.5" customHeight="1">
      <c r="A186" s="14" t="s">
        <v>206</v>
      </c>
      <c r="B186" s="52">
        <v>14401.0116233121</v>
      </c>
      <c r="C186" s="52">
        <v>16701.7371708801</v>
      </c>
      <c r="E186" s="52"/>
    </row>
    <row r="187" ht="13.5" customHeight="1">
      <c r="A187" s="14" t="s">
        <v>207</v>
      </c>
      <c r="B187" s="52">
        <v>14442.6052530576</v>
      </c>
      <c r="C187" s="52">
        <v>16728.7454827803</v>
      </c>
      <c r="E187" s="52"/>
    </row>
    <row r="188" ht="13.5" customHeight="1">
      <c r="A188" s="14" t="s">
        <v>208</v>
      </c>
      <c r="B188" s="52">
        <v>14422.4455288347</v>
      </c>
      <c r="C188" s="52">
        <v>16669.3666435698</v>
      </c>
      <c r="E188" s="52"/>
    </row>
    <row r="189" ht="13.5" customHeight="1">
      <c r="A189" s="14" t="s">
        <v>209</v>
      </c>
      <c r="B189" s="52">
        <v>14601.5649580266</v>
      </c>
      <c r="C189" s="52">
        <v>16867.7993968999</v>
      </c>
      <c r="E189" s="52"/>
    </row>
    <row r="190" ht="13.5" customHeight="1">
      <c r="A190" s="14" t="s">
        <v>210</v>
      </c>
      <c r="B190" s="52">
        <v>14668.3405131487</v>
      </c>
      <c r="C190" s="52">
        <v>16893.3873792896</v>
      </c>
      <c r="E190" s="52"/>
    </row>
    <row r="191" ht="13.5" customHeight="1">
      <c r="A191" s="14" t="s">
        <v>211</v>
      </c>
      <c r="B191" s="52">
        <v>14663.9574727984</v>
      </c>
      <c r="C191" s="52">
        <v>16878.2390125169</v>
      </c>
      <c r="E191" s="52"/>
    </row>
    <row r="192" ht="13.5" customHeight="1">
      <c r="A192" s="14" t="s">
        <v>212</v>
      </c>
      <c r="B192" s="52">
        <v>14715.6233403778</v>
      </c>
      <c r="C192" s="52">
        <v>16898.6183468613</v>
      </c>
      <c r="E192" s="52"/>
    </row>
    <row r="193" ht="13.5" customHeight="1">
      <c r="A193" s="14" t="s">
        <v>213</v>
      </c>
      <c r="B193" s="52">
        <v>14765.593186799</v>
      </c>
      <c r="C193" s="52">
        <v>16970.4562109269</v>
      </c>
      <c r="E193" s="52"/>
    </row>
    <row r="194" ht="13.5" customHeight="1">
      <c r="A194" s="14" t="s">
        <v>214</v>
      </c>
      <c r="B194" s="52">
        <v>14801.299448888</v>
      </c>
      <c r="C194" s="52">
        <v>16990.5147958945</v>
      </c>
      <c r="E194" s="52"/>
    </row>
    <row r="195" ht="13.5" customHeight="1">
      <c r="A195" s="14" t="s">
        <v>215</v>
      </c>
      <c r="B195" s="52">
        <v>14627.5215678864</v>
      </c>
      <c r="C195" s="52">
        <v>16753.931903081</v>
      </c>
      <c r="E195" s="52"/>
    </row>
    <row r="196" ht="13.5" customHeight="1">
      <c r="A196" s="14" t="s">
        <v>216</v>
      </c>
      <c r="B196" s="52">
        <v>14690.792983247</v>
      </c>
      <c r="C196" s="52">
        <v>16786.5215089137</v>
      </c>
      <c r="E196" s="52"/>
    </row>
    <row r="197" ht="13.5" customHeight="1">
      <c r="A197" s="14" t="s">
        <v>217</v>
      </c>
      <c r="B197" s="52">
        <v>14757.4119229918</v>
      </c>
      <c r="C197" s="52">
        <v>16846.1947843636</v>
      </c>
      <c r="E197" s="52"/>
    </row>
    <row r="198" ht="13.5" customHeight="1">
      <c r="A198" s="14" t="s">
        <v>218</v>
      </c>
      <c r="B198" s="52">
        <v>14802.357314544</v>
      </c>
      <c r="C198" s="52">
        <v>16891.0971689971</v>
      </c>
      <c r="E198" s="52"/>
    </row>
    <row r="199" ht="13.5" customHeight="1">
      <c r="A199" s="14" t="s">
        <v>219</v>
      </c>
      <c r="B199" s="52">
        <v>15037.3337624174</v>
      </c>
      <c r="C199" s="52">
        <v>17094.0322746541</v>
      </c>
      <c r="E199" s="52"/>
    </row>
    <row r="200" ht="13.5" customHeight="1">
      <c r="A200" s="14" t="s">
        <v>220</v>
      </c>
      <c r="B200" s="52">
        <v>14972.327463935</v>
      </c>
      <c r="C200" s="52">
        <v>16971.781068281</v>
      </c>
      <c r="E200" s="52"/>
    </row>
    <row r="201" ht="13.5" customHeight="1">
      <c r="A201" s="14" t="s">
        <v>221</v>
      </c>
      <c r="B201" s="52">
        <v>14917.1820312006</v>
      </c>
      <c r="C201" s="52">
        <v>16891.6265615468</v>
      </c>
      <c r="E201" s="52"/>
    </row>
    <row r="202" ht="13.5" customHeight="1">
      <c r="A202" s="14" t="s">
        <v>222</v>
      </c>
      <c r="B202" s="52">
        <v>14807.4875048958</v>
      </c>
      <c r="C202" s="52">
        <v>16701.0566795204</v>
      </c>
      <c r="E202" s="52"/>
    </row>
    <row r="203" ht="13.5" customHeight="1">
      <c r="A203" s="14" t="s">
        <v>223</v>
      </c>
      <c r="B203" s="52">
        <v>14694.5657983228</v>
      </c>
      <c r="C203" s="52">
        <v>16566.7759085807</v>
      </c>
      <c r="E203" s="52"/>
    </row>
    <row r="204" ht="13.5" customHeight="1">
      <c r="A204" s="14" t="s">
        <v>224</v>
      </c>
      <c r="B204" s="52">
        <v>14700.0886769606</v>
      </c>
      <c r="C204" s="52">
        <v>16587.0920466273</v>
      </c>
      <c r="E204" s="52"/>
    </row>
    <row r="205" ht="13.5" customHeight="1">
      <c r="A205" s="14" t="s">
        <v>225</v>
      </c>
      <c r="B205" s="52">
        <v>14429.9725247069</v>
      </c>
      <c r="C205" s="52">
        <v>16303.3711470864</v>
      </c>
      <c r="E205" s="52"/>
    </row>
    <row r="206" ht="13.5" customHeight="1">
      <c r="A206" s="14" t="s">
        <v>226</v>
      </c>
      <c r="B206" s="52">
        <v>14481.0507369992</v>
      </c>
      <c r="C206" s="52">
        <v>16350.2381485021</v>
      </c>
      <c r="E206" s="52"/>
    </row>
    <row r="207" ht="13.5" customHeight="1">
      <c r="A207" s="14" t="s">
        <v>227</v>
      </c>
      <c r="B207" s="52">
        <v>14442.8666257375</v>
      </c>
      <c r="C207" s="52">
        <v>16289.9926368162</v>
      </c>
      <c r="E207" s="52"/>
    </row>
    <row r="208" ht="13.5" customHeight="1">
      <c r="A208" s="14" t="s">
        <v>228</v>
      </c>
      <c r="B208" s="52">
        <v>14368.7886372563</v>
      </c>
      <c r="C208" s="52">
        <v>16255.3990335046</v>
      </c>
      <c r="E208" s="52"/>
    </row>
    <row r="209" ht="13.5" customHeight="1">
      <c r="A209" s="14" t="s">
        <v>229</v>
      </c>
      <c r="B209" s="52">
        <v>14360.3080773445</v>
      </c>
      <c r="C209" s="52">
        <v>16253.9703942692</v>
      </c>
      <c r="E209" s="52"/>
    </row>
    <row r="210" ht="13.5" customHeight="1">
      <c r="A210" s="14" t="s">
        <v>230</v>
      </c>
      <c r="B210" s="52">
        <v>14377.739294374</v>
      </c>
      <c r="C210" s="52">
        <v>16278.6112017029</v>
      </c>
      <c r="E210" s="52"/>
    </row>
    <row r="211" ht="13.5" customHeight="1">
      <c r="A211" s="14" t="s">
        <v>231</v>
      </c>
      <c r="B211" s="52">
        <v>14405.6606282843</v>
      </c>
      <c r="C211" s="52">
        <v>16275.5403486295</v>
      </c>
      <c r="E211" s="52"/>
    </row>
    <row r="212" ht="13.5" customHeight="1">
      <c r="A212" s="14" t="s">
        <v>232</v>
      </c>
      <c r="B212" s="52">
        <v>14376.2538167804</v>
      </c>
      <c r="C212" s="52">
        <v>16261.7107232284</v>
      </c>
      <c r="E212" s="52"/>
    </row>
    <row r="213" ht="13.5" customHeight="1">
      <c r="A213" s="14" t="s">
        <v>233</v>
      </c>
      <c r="B213" s="52">
        <v>14480.4969175206</v>
      </c>
      <c r="C213" s="52">
        <v>16349.085821821</v>
      </c>
      <c r="E213" s="52"/>
    </row>
    <row r="214" ht="13.5" customHeight="1">
      <c r="A214" s="14" t="s">
        <v>234</v>
      </c>
      <c r="B214" s="52">
        <v>14489.8952656924</v>
      </c>
      <c r="C214" s="52">
        <v>16368.8559617764</v>
      </c>
      <c r="E214" s="52"/>
    </row>
    <row r="215" ht="13.5" customHeight="1">
      <c r="A215" s="14" t="s">
        <v>235</v>
      </c>
      <c r="B215" s="52">
        <v>14693.4546034528</v>
      </c>
      <c r="C215" s="52">
        <v>16570.2588563672</v>
      </c>
      <c r="E215" s="52"/>
    </row>
    <row r="216" ht="13.5" customHeight="1">
      <c r="A216" s="14" t="s">
        <v>236</v>
      </c>
      <c r="B216" s="52">
        <v>14665.2632356381</v>
      </c>
      <c r="C216" s="52">
        <v>16512.6127029371</v>
      </c>
      <c r="E216" s="52"/>
    </row>
    <row r="217" ht="13.5" customHeight="1">
      <c r="A217" s="14" t="s">
        <v>237</v>
      </c>
      <c r="B217" s="52">
        <v>14595.0291609002</v>
      </c>
      <c r="C217" s="52">
        <v>16426.1980077894</v>
      </c>
      <c r="E217" s="52"/>
    </row>
    <row r="218" ht="13.5" customHeight="1">
      <c r="A218" s="14" t="s">
        <v>238</v>
      </c>
      <c r="B218" s="52">
        <v>14707.2649415206</v>
      </c>
      <c r="C218" s="52">
        <v>16526.0621172862</v>
      </c>
      <c r="E218" s="52"/>
    </row>
    <row r="219" ht="13.5" customHeight="1">
      <c r="A219" s="14" t="s">
        <v>239</v>
      </c>
      <c r="B219" s="52">
        <v>14735.2436104481</v>
      </c>
      <c r="C219" s="52">
        <v>16560.9673109063</v>
      </c>
      <c r="E219" s="52"/>
    </row>
    <row r="220" ht="13.5" customHeight="1">
      <c r="A220" s="14" t="s">
        <v>240</v>
      </c>
      <c r="B220" s="52">
        <v>14851.3214480608</v>
      </c>
      <c r="C220" s="52">
        <v>16661.6170939292</v>
      </c>
      <c r="E220" s="52"/>
    </row>
    <row r="221" ht="13.5" customHeight="1">
      <c r="A221" s="14" t="s">
        <v>241</v>
      </c>
      <c r="B221" s="52">
        <v>14946.0617054266</v>
      </c>
      <c r="C221" s="52">
        <v>16725.2544937333</v>
      </c>
      <c r="E221" s="52"/>
    </row>
    <row r="222" ht="13.5" customHeight="1">
      <c r="A222" s="14" t="s">
        <v>242</v>
      </c>
      <c r="B222" s="52">
        <v>14956.5039128903</v>
      </c>
      <c r="C222" s="52">
        <v>16714.2877804591</v>
      </c>
      <c r="E222" s="52"/>
    </row>
    <row r="223" ht="13.5" customHeight="1">
      <c r="A223" s="14" t="s">
        <v>243</v>
      </c>
      <c r="B223" s="52">
        <v>15038.0133816041</v>
      </c>
      <c r="C223" s="52">
        <v>16790.6714850739</v>
      </c>
      <c r="E223" s="52"/>
    </row>
    <row r="224" ht="13.5" customHeight="1">
      <c r="A224" s="14" t="s">
        <v>244</v>
      </c>
      <c r="B224" s="52">
        <v>15111.8388581694</v>
      </c>
      <c r="C224" s="52">
        <v>16866.318309758</v>
      </c>
      <c r="E224" s="52"/>
    </row>
    <row r="225" ht="13.5" customHeight="1">
      <c r="A225" s="14" t="s">
        <v>245</v>
      </c>
      <c r="B225" s="52">
        <v>15108.5636066779</v>
      </c>
      <c r="C225" s="52">
        <v>16835.0805431697</v>
      </c>
      <c r="E225" s="52"/>
    </row>
    <row r="226" ht="13.5" customHeight="1">
      <c r="A226" s="14" t="s">
        <v>246</v>
      </c>
      <c r="B226" s="52">
        <v>15204.4185352058</v>
      </c>
      <c r="C226" s="52">
        <v>16916.0291451186</v>
      </c>
      <c r="E226" s="52"/>
    </row>
    <row r="227" ht="13.5" customHeight="1">
      <c r="A227" s="14" t="s">
        <v>247</v>
      </c>
      <c r="B227" s="52">
        <v>15287.4225300327</v>
      </c>
      <c r="C227" s="52">
        <v>16965.411201731</v>
      </c>
      <c r="E227" s="52"/>
    </row>
    <row r="228" ht="13.5" customHeight="1">
      <c r="A228" s="14" t="s">
        <v>248</v>
      </c>
      <c r="B228" s="52">
        <v>15264.357637927</v>
      </c>
      <c r="C228" s="52">
        <v>16904.0123157135</v>
      </c>
      <c r="E228" s="52"/>
    </row>
    <row r="229" ht="13.5" customHeight="1">
      <c r="A229" s="14" t="s">
        <v>249</v>
      </c>
      <c r="B229" s="52">
        <v>15376.641831991</v>
      </c>
      <c r="C229" s="52">
        <v>17013.8235187252</v>
      </c>
      <c r="E229" s="52"/>
    </row>
    <row r="230" ht="13.5" customHeight="1">
      <c r="A230" s="14" t="s">
        <v>250</v>
      </c>
      <c r="B230" s="52">
        <v>15257.7250444992</v>
      </c>
      <c r="C230" s="52">
        <v>16865.3430307121</v>
      </c>
      <c r="E230" s="52"/>
    </row>
    <row r="231" ht="13.5" customHeight="1">
      <c r="A231" s="14" t="s">
        <v>251</v>
      </c>
      <c r="B231" s="52">
        <v>15282.8962656982</v>
      </c>
      <c r="C231" s="52">
        <v>16841.0562230411</v>
      </c>
      <c r="E231" s="52"/>
    </row>
    <row r="232" ht="13.5" customHeight="1">
      <c r="A232" s="14" t="s">
        <v>252</v>
      </c>
      <c r="B232" s="52">
        <v>15513.722689783</v>
      </c>
      <c r="C232" s="52">
        <v>17056.0552011771</v>
      </c>
      <c r="E232" s="52"/>
    </row>
    <row r="233" ht="13.5" customHeight="1">
      <c r="A233" s="14" t="s">
        <v>253</v>
      </c>
      <c r="B233" s="52">
        <v>15584.4449506809</v>
      </c>
      <c r="C233" s="52">
        <v>17097.4489348148</v>
      </c>
      <c r="E233" s="52"/>
    </row>
    <row r="234" ht="13.5" customHeight="1">
      <c r="A234" s="14" t="s">
        <v>254</v>
      </c>
      <c r="B234" s="52">
        <v>15567.1334549499</v>
      </c>
      <c r="C234" s="52">
        <v>17037.9013660638</v>
      </c>
      <c r="E234" s="52"/>
    </row>
    <row r="235" ht="13.5" customHeight="1">
      <c r="A235" s="14" t="s">
        <v>255</v>
      </c>
      <c r="B235" s="52">
        <v>15521.0385944305</v>
      </c>
      <c r="C235" s="52">
        <v>16970.6997058272</v>
      </c>
      <c r="E235" s="52"/>
    </row>
    <row r="236" ht="13.5" customHeight="1">
      <c r="A236" s="14" t="s">
        <v>256</v>
      </c>
      <c r="B236" s="52">
        <v>15615.9247474806</v>
      </c>
      <c r="C236" s="52">
        <v>17025.5816132377</v>
      </c>
      <c r="E236" s="52"/>
    </row>
    <row r="237" ht="13.5" customHeight="1">
      <c r="A237" s="14" t="s">
        <v>257</v>
      </c>
      <c r="B237" s="52">
        <v>15716.1595075632</v>
      </c>
      <c r="C237" s="52">
        <v>17097.181258325</v>
      </c>
      <c r="E237" s="52"/>
    </row>
    <row r="238" ht="13.5" customHeight="1">
      <c r="A238" s="14" t="s">
        <v>258</v>
      </c>
      <c r="B238" s="52">
        <v>15610.9557449451</v>
      </c>
      <c r="C238" s="52">
        <v>16971.8908880646</v>
      </c>
      <c r="E238" s="52"/>
    </row>
    <row r="239" ht="13.5" customHeight="1">
      <c r="A239" s="14" t="s">
        <v>259</v>
      </c>
      <c r="B239" s="52">
        <v>15858.1625243656</v>
      </c>
      <c r="C239" s="52">
        <v>17256.8997819417</v>
      </c>
      <c r="E239" s="52"/>
    </row>
    <row r="240" ht="13.5" customHeight="1">
      <c r="A240" s="14" t="s">
        <v>260</v>
      </c>
      <c r="B240" s="52">
        <v>15837.8903386432</v>
      </c>
      <c r="C240" s="52">
        <v>17204.1246974684</v>
      </c>
      <c r="E240" s="52"/>
    </row>
    <row r="241" ht="13.5" customHeight="1">
      <c r="A241" s="14" t="s">
        <v>261</v>
      </c>
      <c r="B241" s="52">
        <v>15830.7241370403</v>
      </c>
      <c r="C241" s="52">
        <v>17207.4871925207</v>
      </c>
      <c r="E241" s="52"/>
    </row>
    <row r="242" ht="13.5" customHeight="1">
      <c r="A242" s="14" t="s">
        <v>262</v>
      </c>
      <c r="B242" s="52">
        <v>15935.0803841659</v>
      </c>
      <c r="C242" s="52">
        <v>17264.5508677563</v>
      </c>
      <c r="E242" s="52"/>
    </row>
    <row r="243" ht="13.5" customHeight="1">
      <c r="A243" s="14" t="s">
        <v>263</v>
      </c>
      <c r="B243" s="52">
        <v>16212.738056142</v>
      </c>
      <c r="C243" s="52">
        <v>17511.9751561001</v>
      </c>
      <c r="E243" s="52"/>
    </row>
    <row r="244" ht="13.5" customHeight="1">
      <c r="A244" s="14" t="s">
        <v>264</v>
      </c>
      <c r="B244" s="52">
        <v>16058.5965596728</v>
      </c>
      <c r="C244" s="52">
        <v>17325.024372198</v>
      </c>
      <c r="E244" s="52"/>
    </row>
    <row r="245" ht="13.5" customHeight="1">
      <c r="A245" s="14" t="s">
        <v>265</v>
      </c>
      <c r="B245" s="52">
        <v>16179.957295973</v>
      </c>
      <c r="C245" s="52">
        <v>17412.9407462174</v>
      </c>
      <c r="E245" s="52"/>
    </row>
    <row r="246" ht="13.5" customHeight="1">
      <c r="A246" s="14" t="s">
        <v>266</v>
      </c>
      <c r="B246" s="52">
        <v>16221.6579910299</v>
      </c>
      <c r="C246" s="52">
        <v>17473.2255562818</v>
      </c>
      <c r="E246" s="52"/>
    </row>
    <row r="247" ht="13.5" customHeight="1">
      <c r="A247" s="14" t="s">
        <v>267</v>
      </c>
      <c r="B247" s="52">
        <v>16219.7297129803</v>
      </c>
      <c r="C247" s="52">
        <v>17447.9900070408</v>
      </c>
      <c r="E247" s="52"/>
    </row>
    <row r="248" ht="13.5" customHeight="1">
      <c r="A248" s="14" t="s">
        <v>268</v>
      </c>
      <c r="B248" s="52">
        <v>16319.2753332384</v>
      </c>
      <c r="C248" s="52">
        <v>17517.917648284</v>
      </c>
      <c r="E248" s="52"/>
    </row>
    <row r="249" ht="13.5" customHeight="1">
      <c r="A249" s="14" t="s">
        <v>269</v>
      </c>
      <c r="B249" s="52">
        <v>16274.3268202753</v>
      </c>
      <c r="C249" s="52">
        <v>17414.9720836804</v>
      </c>
      <c r="E249" s="52"/>
    </row>
    <row r="250" ht="13.5" customHeight="1">
      <c r="A250" s="14" t="s">
        <v>270</v>
      </c>
      <c r="B250" s="52">
        <v>16365.0208464805</v>
      </c>
      <c r="C250" s="52">
        <v>17476.7410197459</v>
      </c>
      <c r="E250" s="52"/>
    </row>
    <row r="251" ht="13.5" customHeight="1">
      <c r="A251" s="14" t="s">
        <v>271</v>
      </c>
      <c r="B251" s="52">
        <v>16337.8258162456</v>
      </c>
      <c r="C251" s="52">
        <v>17408.2653337278</v>
      </c>
      <c r="E251" s="52"/>
    </row>
    <row r="252" ht="13.5" customHeight="1">
      <c r="A252" s="14" t="s">
        <v>272</v>
      </c>
      <c r="B252" s="52">
        <v>16404.5969995572</v>
      </c>
      <c r="C252" s="52">
        <v>17484.550799871</v>
      </c>
      <c r="E252" s="52"/>
    </row>
    <row r="253" ht="13.5" customHeight="1">
      <c r="A253" s="14" t="s">
        <v>273</v>
      </c>
      <c r="B253" s="52">
        <v>16518.8341842104</v>
      </c>
      <c r="C253" s="52">
        <v>17577.4753670014</v>
      </c>
      <c r="E253" s="52"/>
    </row>
    <row r="254" ht="13.5" customHeight="1">
      <c r="A254" s="14" t="s">
        <v>274</v>
      </c>
      <c r="B254" s="52">
        <v>16678.2303174053</v>
      </c>
      <c r="C254" s="52">
        <v>17719.6646675585</v>
      </c>
      <c r="E254" s="52"/>
    </row>
    <row r="255" ht="13.5" customHeight="1">
      <c r="A255" s="14" t="s">
        <v>275</v>
      </c>
      <c r="B255" s="52">
        <v>16603.250390534</v>
      </c>
      <c r="C255" s="52">
        <v>17601.6233274701</v>
      </c>
      <c r="E255" s="52"/>
    </row>
    <row r="256" ht="13.5" customHeight="1">
      <c r="A256" s="14" t="s">
        <v>276</v>
      </c>
      <c r="B256" s="52">
        <v>16663.0862920594</v>
      </c>
      <c r="C256" s="52">
        <v>17666.5970897287</v>
      </c>
      <c r="E256" s="52"/>
    </row>
    <row r="257" ht="13.5" customHeight="1">
      <c r="A257" s="14" t="s">
        <v>277</v>
      </c>
      <c r="B257" s="52">
        <v>16682.5054241602</v>
      </c>
      <c r="C257" s="52">
        <v>17699.1143607842</v>
      </c>
      <c r="E257" s="52"/>
    </row>
    <row r="258" ht="13.5" customHeight="1">
      <c r="A258" s="14" t="s">
        <v>278</v>
      </c>
      <c r="B258" s="52">
        <v>16663.631185045</v>
      </c>
      <c r="C258" s="52">
        <v>17648.5564276672</v>
      </c>
      <c r="E258" s="52"/>
    </row>
    <row r="259" ht="13.5" customHeight="1">
      <c r="A259" s="14" t="s">
        <v>279</v>
      </c>
      <c r="B259" s="52">
        <v>16839.9243907732</v>
      </c>
      <c r="C259" s="52">
        <v>17782.0275664763</v>
      </c>
      <c r="E259" s="52"/>
    </row>
    <row r="260" ht="13.5" customHeight="1">
      <c r="A260" s="14" t="s">
        <v>280</v>
      </c>
      <c r="B260" s="52">
        <v>16881.6131732819</v>
      </c>
      <c r="C260" s="52">
        <v>17803.6366725565</v>
      </c>
      <c r="E260" s="52"/>
    </row>
    <row r="261" ht="13.5" customHeight="1">
      <c r="A261" s="14" t="s">
        <v>281</v>
      </c>
      <c r="B261" s="52">
        <v>16986.5202817265</v>
      </c>
      <c r="C261" s="52">
        <v>17894.7358060527</v>
      </c>
      <c r="E261" s="52"/>
    </row>
    <row r="262" ht="13.5" customHeight="1">
      <c r="A262" s="14" t="s">
        <v>282</v>
      </c>
      <c r="B262" s="52">
        <v>16993.3805450475</v>
      </c>
      <c r="C262" s="52">
        <v>17883.6674247909</v>
      </c>
      <c r="E262" s="52"/>
    </row>
    <row r="263" ht="13.5" customHeight="1">
      <c r="A263" s="14" t="s">
        <v>283</v>
      </c>
      <c r="B263" s="52">
        <v>17117.0028477184</v>
      </c>
      <c r="C263" s="52">
        <v>17984.9663734557</v>
      </c>
      <c r="E263" s="52"/>
    </row>
    <row r="264" ht="13.5" customHeight="1">
      <c r="A264" s="14" t="s">
        <v>284</v>
      </c>
      <c r="B264" s="52">
        <v>17221.9387538927</v>
      </c>
      <c r="C264" s="52">
        <v>18055.0440153596</v>
      </c>
      <c r="E264" s="52"/>
    </row>
    <row r="265" ht="13.5" customHeight="1">
      <c r="A265" s="14" t="s">
        <v>285</v>
      </c>
      <c r="B265" s="52">
        <v>17237.1153984101</v>
      </c>
      <c r="C265" s="52">
        <v>18009.0783507694</v>
      </c>
      <c r="E265" s="52"/>
    </row>
    <row r="266" ht="13.5" customHeight="1">
      <c r="A266" s="14" t="s">
        <v>286</v>
      </c>
      <c r="B266" s="52">
        <v>17136.285662477</v>
      </c>
      <c r="C266" s="52">
        <v>17898.2640965219</v>
      </c>
      <c r="E266" s="52"/>
    </row>
    <row r="267" ht="13.5" customHeight="1">
      <c r="A267" s="14" t="s">
        <v>287</v>
      </c>
      <c r="B267" s="52">
        <v>17215.4865741594</v>
      </c>
      <c r="C267" s="52">
        <v>17986.9087568699</v>
      </c>
      <c r="E267" s="52"/>
    </row>
    <row r="268" ht="13.5" customHeight="1">
      <c r="A268" s="14" t="s">
        <v>288</v>
      </c>
      <c r="B268" s="52">
        <v>17241.4417632511</v>
      </c>
      <c r="C268" s="52">
        <v>17977.4172272242</v>
      </c>
      <c r="E268" s="52"/>
    </row>
    <row r="269" ht="13.5" customHeight="1">
      <c r="A269" s="14" t="s">
        <v>289</v>
      </c>
      <c r="B269" s="52">
        <v>17404.0145088293</v>
      </c>
      <c r="C269" s="52">
        <v>18109.0183999605</v>
      </c>
      <c r="E269" s="52"/>
    </row>
    <row r="270" ht="13.5" customHeight="1">
      <c r="A270" s="14" t="s">
        <v>290</v>
      </c>
      <c r="B270" s="52">
        <v>17542.8691703154</v>
      </c>
      <c r="C270" s="52">
        <v>18200.1142966264</v>
      </c>
      <c r="E270" s="52"/>
    </row>
    <row r="271" ht="13.5" customHeight="1">
      <c r="A271" s="14" t="s">
        <v>291</v>
      </c>
      <c r="B271" s="52">
        <v>17608.6403208825</v>
      </c>
      <c r="C271" s="52">
        <v>18249.2658528774</v>
      </c>
      <c r="E271" s="52"/>
    </row>
    <row r="272" ht="13.5" customHeight="1">
      <c r="A272" s="14" t="s">
        <v>292</v>
      </c>
      <c r="B272" s="52">
        <v>17749.3993484209</v>
      </c>
      <c r="C272" s="52">
        <v>18363.7930738282</v>
      </c>
      <c r="E272" s="52"/>
    </row>
    <row r="273" ht="13.5" customHeight="1">
      <c r="A273" s="14" t="s">
        <v>293</v>
      </c>
      <c r="B273" s="52">
        <v>17860.9500093097</v>
      </c>
      <c r="C273" s="52">
        <v>18466.6647832219</v>
      </c>
      <c r="E273" s="52"/>
    </row>
    <row r="274" ht="13.5" customHeight="1">
      <c r="A274" s="14" t="s">
        <v>294</v>
      </c>
      <c r="B274" s="52">
        <v>17802.3346422296</v>
      </c>
      <c r="C274" s="52">
        <v>18391.0479932775</v>
      </c>
      <c r="E274" s="52"/>
    </row>
    <row r="275" ht="13.5" customHeight="1">
      <c r="A275" s="14" t="s">
        <v>295</v>
      </c>
      <c r="B275" s="52">
        <v>17906.1067038164</v>
      </c>
      <c r="C275" s="52">
        <v>18495.0438100993</v>
      </c>
      <c r="E275" s="52"/>
    </row>
    <row r="276" ht="13.5" customHeight="1">
      <c r="A276" s="14" t="s">
        <v>296</v>
      </c>
      <c r="B276" s="52">
        <v>17926.4946608295</v>
      </c>
      <c r="C276" s="52">
        <v>18509.8167916969</v>
      </c>
      <c r="E276" s="52"/>
    </row>
    <row r="277" ht="13.5" customHeight="1">
      <c r="A277" s="14" t="s">
        <v>297</v>
      </c>
      <c r="B277" s="52">
        <v>17903.6356353234</v>
      </c>
      <c r="C277" s="52">
        <v>18495.8153930757</v>
      </c>
      <c r="E277" s="52"/>
    </row>
    <row r="278" ht="13.5" customHeight="1">
      <c r="A278" s="14" t="s">
        <v>298</v>
      </c>
      <c r="B278" s="52">
        <v>18002.954369675</v>
      </c>
      <c r="C278" s="52">
        <v>18652.5069894768</v>
      </c>
      <c r="E278" s="52"/>
    </row>
    <row r="279" ht="13.5" customHeight="1">
      <c r="A279" s="14" t="s">
        <v>299</v>
      </c>
      <c r="B279" s="52">
        <v>18122.5690782967</v>
      </c>
      <c r="C279" s="52">
        <v>18729.5657666693</v>
      </c>
      <c r="E279" s="52"/>
    </row>
    <row r="280" ht="13.5" customHeight="1">
      <c r="A280" s="14" t="s">
        <v>300</v>
      </c>
      <c r="B280" s="52">
        <v>18065.0635520527</v>
      </c>
      <c r="C280" s="52">
        <v>18618.3088357785</v>
      </c>
      <c r="E280" s="52"/>
    </row>
    <row r="281" ht="13.5" customHeight="1">
      <c r="A281" s="14" t="s">
        <v>301</v>
      </c>
      <c r="B281" s="52">
        <v>18243.2738273193</v>
      </c>
      <c r="C281" s="52">
        <v>18784.819933727</v>
      </c>
      <c r="E281" s="52"/>
    </row>
    <row r="282" ht="13.5" customHeight="1">
      <c r="A282" s="14" t="s">
        <v>302</v>
      </c>
      <c r="B282" s="52">
        <v>18256.751996664</v>
      </c>
      <c r="C282" s="52">
        <v>18749.042739937</v>
      </c>
      <c r="E282" s="52"/>
    </row>
    <row r="283" ht="13.5" customHeight="1">
      <c r="A283" s="14" t="s">
        <v>303</v>
      </c>
      <c r="B283" s="52">
        <v>18339.3261760441</v>
      </c>
      <c r="C283" s="52">
        <v>18813.2694693578</v>
      </c>
      <c r="E283" s="52"/>
    </row>
    <row r="284" ht="13.5" customHeight="1">
      <c r="A284" s="14" t="s">
        <v>304</v>
      </c>
      <c r="B284" s="52">
        <v>18368.129023572</v>
      </c>
      <c r="C284" s="52">
        <v>18820.5364652042</v>
      </c>
      <c r="E284" s="52"/>
    </row>
    <row r="285" ht="13.5" customHeight="1">
      <c r="A285" s="14" t="s">
        <v>305</v>
      </c>
      <c r="B285" s="52">
        <v>18379.864077443</v>
      </c>
      <c r="C285" s="52">
        <v>18831.5877830352</v>
      </c>
      <c r="E285" s="52"/>
    </row>
    <row r="286" ht="13.5" customHeight="1">
      <c r="A286" s="14" t="s">
        <v>306</v>
      </c>
      <c r="B286" s="52">
        <v>18456.8848989737</v>
      </c>
      <c r="C286" s="52">
        <v>18920.5194851129</v>
      </c>
      <c r="E286" s="52"/>
    </row>
    <row r="287" ht="13.5" customHeight="1">
      <c r="A287" s="14" t="s">
        <v>307</v>
      </c>
      <c r="B287" s="52">
        <v>18469.4062795022</v>
      </c>
      <c r="C287" s="52">
        <v>18917.4250255706</v>
      </c>
      <c r="E287" s="52"/>
    </row>
    <row r="288" ht="13.5" customHeight="1">
      <c r="A288" s="14" t="s">
        <v>308</v>
      </c>
      <c r="B288" s="52">
        <v>18387.7013028357</v>
      </c>
      <c r="C288" s="52">
        <v>18837.5254459662</v>
      </c>
      <c r="E288" s="52"/>
    </row>
    <row r="289" ht="13.5" customHeight="1">
      <c r="A289" s="14" t="s">
        <v>309</v>
      </c>
      <c r="B289" s="52">
        <v>18448.3034177452</v>
      </c>
      <c r="C289" s="52">
        <v>18921.9485971044</v>
      </c>
      <c r="E289" s="52"/>
    </row>
    <row r="290" ht="13.5" customHeight="1">
      <c r="A290" s="14" t="s">
        <v>310</v>
      </c>
      <c r="B290" s="52">
        <v>18494.4084604072</v>
      </c>
      <c r="C290" s="52">
        <v>18980.2284337408</v>
      </c>
      <c r="E290" s="52"/>
    </row>
    <row r="291" ht="13.5" customHeight="1">
      <c r="A291" s="14" t="s">
        <v>311</v>
      </c>
      <c r="B291" s="52">
        <v>18463.5509854351</v>
      </c>
      <c r="C291" s="52">
        <v>18952.7387507764</v>
      </c>
      <c r="E291" s="52"/>
    </row>
    <row r="292" ht="13.5" customHeight="1">
      <c r="A292" s="14" t="s">
        <v>312</v>
      </c>
      <c r="B292" s="52">
        <v>18619.83955414</v>
      </c>
      <c r="C292" s="52">
        <v>19072.446003093</v>
      </c>
      <c r="E292" s="52"/>
    </row>
    <row r="293" ht="13.5" customHeight="1">
      <c r="A293" s="14" t="s">
        <v>313</v>
      </c>
      <c r="B293" s="52">
        <v>18704.0411785684</v>
      </c>
      <c r="C293" s="52">
        <v>19091.5312639999</v>
      </c>
      <c r="E293" s="52"/>
    </row>
    <row r="294" ht="13.5" customHeight="1">
      <c r="A294" s="14" t="s">
        <v>314</v>
      </c>
      <c r="B294" s="52">
        <v>18687.6673264642</v>
      </c>
      <c r="C294" s="52">
        <v>19042.3235760356</v>
      </c>
      <c r="E294" s="52"/>
    </row>
    <row r="295" ht="13.5" customHeight="1">
      <c r="A295" s="14" t="s">
        <v>315</v>
      </c>
      <c r="B295" s="52">
        <v>18743.3974949413</v>
      </c>
      <c r="C295" s="52">
        <v>19054.5204118799</v>
      </c>
      <c r="E295" s="52"/>
    </row>
    <row r="296" ht="13.5" customHeight="1">
      <c r="A296" s="14" t="s">
        <v>316</v>
      </c>
      <c r="B296" s="52">
        <v>18778.438157891</v>
      </c>
      <c r="C296" s="52">
        <v>19098.7762393066</v>
      </c>
      <c r="E296" s="52"/>
    </row>
    <row r="297" ht="13.5" customHeight="1">
      <c r="A297" s="14" t="s">
        <v>317</v>
      </c>
      <c r="B297" s="52">
        <v>18889.877563269</v>
      </c>
      <c r="C297" s="52">
        <v>19204.2693423543</v>
      </c>
      <c r="E297" s="52"/>
    </row>
    <row r="298" ht="13.5" customHeight="1">
      <c r="A298" s="14" t="s">
        <v>318</v>
      </c>
      <c r="B298" s="52">
        <v>19009.6012788496</v>
      </c>
      <c r="C298" s="52">
        <v>19290.7900399399</v>
      </c>
      <c r="E298" s="52"/>
    </row>
    <row r="299" ht="13.5" customHeight="1">
      <c r="A299" s="14" t="s">
        <v>319</v>
      </c>
      <c r="B299" s="52">
        <v>18983.3985544966</v>
      </c>
      <c r="C299" s="52">
        <v>19219.0361414966</v>
      </c>
      <c r="E299" s="52"/>
    </row>
    <row r="300" ht="13.5" customHeight="1">
      <c r="A300" s="14" t="s">
        <v>320</v>
      </c>
      <c r="B300" s="52">
        <v>19103.0259792193</v>
      </c>
      <c r="C300" s="52">
        <v>19329.3717738845</v>
      </c>
      <c r="E300" s="52"/>
    </row>
    <row r="301" ht="13.5" customHeight="1">
      <c r="A301" s="14" t="s">
        <v>321</v>
      </c>
      <c r="B301" s="52">
        <v>19181.7124663417</v>
      </c>
      <c r="C301" s="52">
        <v>19364.6609096699</v>
      </c>
      <c r="E301" s="52"/>
    </row>
    <row r="302" ht="13.5" customHeight="1">
      <c r="A302" s="14" t="s">
        <v>322</v>
      </c>
      <c r="B302" s="52">
        <v>19228.5143285312</v>
      </c>
      <c r="C302" s="52">
        <v>19356.0733075959</v>
      </c>
      <c r="E302" s="52"/>
    </row>
    <row r="303" ht="13.5" customHeight="1">
      <c r="A303" s="14" t="s">
        <v>323</v>
      </c>
      <c r="B303" s="52">
        <v>19260.6249004338</v>
      </c>
      <c r="C303" s="52">
        <v>19373.795572753</v>
      </c>
      <c r="E303" s="52"/>
    </row>
    <row r="304" ht="13.5" customHeight="1">
      <c r="A304" s="14" t="s">
        <v>324</v>
      </c>
      <c r="B304" s="52">
        <v>19351.1127710798</v>
      </c>
      <c r="C304" s="52">
        <v>19465.2097674205</v>
      </c>
      <c r="E304" s="52"/>
    </row>
    <row r="305" ht="13.5" customHeight="1">
      <c r="A305" s="14" t="s">
        <v>325</v>
      </c>
      <c r="B305" s="52">
        <v>19321.06050035</v>
      </c>
      <c r="C305" s="52">
        <v>19394.3606619475</v>
      </c>
      <c r="E305" s="52"/>
    </row>
    <row r="306" ht="13.5" customHeight="1">
      <c r="A306" s="14" t="s">
        <v>326</v>
      </c>
      <c r="B306" s="52">
        <v>19439.4096747758</v>
      </c>
      <c r="C306" s="52">
        <v>19515.2071444502</v>
      </c>
      <c r="E306" s="52"/>
    </row>
    <row r="307" ht="13.5" customHeight="1">
      <c r="A307" s="14" t="s">
        <v>327</v>
      </c>
      <c r="B307" s="52">
        <v>19555.4588248705</v>
      </c>
      <c r="C307" s="52">
        <v>19611.3238418642</v>
      </c>
      <c r="E307" s="52"/>
    </row>
    <row r="308" ht="13.5" customHeight="1">
      <c r="A308" s="14" t="s">
        <v>328</v>
      </c>
      <c r="B308" s="52">
        <v>19577.9349133791</v>
      </c>
      <c r="C308" s="52">
        <v>19598.3844859547</v>
      </c>
      <c r="E308" s="52"/>
    </row>
    <row r="309" ht="13.5" customHeight="1">
      <c r="A309" s="14" t="s">
        <v>329</v>
      </c>
      <c r="B309" s="52">
        <v>19666.0388487274</v>
      </c>
      <c r="C309" s="52">
        <v>19638.3044600192</v>
      </c>
      <c r="E309" s="52"/>
    </row>
    <row r="310" ht="13.5" customHeight="1">
      <c r="A310" s="14" t="s">
        <v>330</v>
      </c>
      <c r="B310" s="52">
        <v>19833.8112379005</v>
      </c>
      <c r="C310" s="52">
        <v>19745.584764231</v>
      </c>
      <c r="E310" s="52"/>
    </row>
    <row r="311" ht="13.5" customHeight="1">
      <c r="A311" s="14" t="s">
        <v>331</v>
      </c>
      <c r="B311" s="52">
        <v>19883.8260543311</v>
      </c>
      <c r="C311" s="52">
        <v>19761.8478699462</v>
      </c>
      <c r="E311" s="52"/>
    </row>
    <row r="312" ht="13.5" customHeight="1">
      <c r="A312" s="14" t="s">
        <v>332</v>
      </c>
      <c r="B312" s="52">
        <v>20066.157975713</v>
      </c>
      <c r="C312" s="52">
        <v>19910.6108859206</v>
      </c>
      <c r="E312" s="52"/>
    </row>
    <row r="313" ht="13.5" customHeight="1">
      <c r="A313" s="14" t="s">
        <v>333</v>
      </c>
      <c r="B313" s="52">
        <v>20161.2799700704</v>
      </c>
      <c r="C313" s="52">
        <v>19974.5212378966</v>
      </c>
      <c r="E313" s="52"/>
    </row>
    <row r="314" ht="13.5" customHeight="1">
      <c r="A314" s="14" t="s">
        <v>334</v>
      </c>
      <c r="B314" s="52">
        <v>20251.631581087</v>
      </c>
      <c r="C314" s="52">
        <v>20001.7300452454</v>
      </c>
      <c r="E314" s="52"/>
    </row>
    <row r="315" ht="13.5" customHeight="1">
      <c r="A315" s="14" t="s">
        <v>335</v>
      </c>
      <c r="B315" s="52">
        <v>20385.2638644253</v>
      </c>
      <c r="C315" s="52">
        <v>20097.4800818193</v>
      </c>
      <c r="E315" s="52"/>
    </row>
    <row r="316" ht="13.5" customHeight="1">
      <c r="A316" s="14" t="s">
        <v>336</v>
      </c>
      <c r="B316" s="52">
        <v>20348.763554456</v>
      </c>
      <c r="C316" s="52">
        <v>20032.9787325453</v>
      </c>
      <c r="E316" s="52"/>
    </row>
    <row r="317" ht="13.5" customHeight="1">
      <c r="A317" s="14" t="s">
        <v>337</v>
      </c>
      <c r="B317" s="52">
        <v>20474.0258500278</v>
      </c>
      <c r="C317" s="52">
        <v>20090.3139285655</v>
      </c>
      <c r="E317" s="52"/>
    </row>
    <row r="318" ht="13.5" customHeight="1">
      <c r="A318" s="14" t="s">
        <v>338</v>
      </c>
      <c r="B318" s="52">
        <v>20616.3681194122</v>
      </c>
      <c r="C318" s="52">
        <v>20178.4854201395</v>
      </c>
      <c r="E318" s="52"/>
    </row>
    <row r="319" ht="13.5" customHeight="1">
      <c r="A319" s="14" t="s">
        <v>339</v>
      </c>
      <c r="B319" s="52">
        <v>20652.3420304547</v>
      </c>
      <c r="C319" s="52">
        <v>20182.6226425633</v>
      </c>
      <c r="E319" s="52"/>
    </row>
    <row r="320" ht="13.5" customHeight="1">
      <c r="A320" s="14" t="s">
        <v>340</v>
      </c>
      <c r="B320" s="52">
        <v>20751.5069267503</v>
      </c>
      <c r="C320" s="52">
        <v>20258.1769263688</v>
      </c>
      <c r="E320" s="52"/>
    </row>
    <row r="321" ht="13.5" customHeight="1">
      <c r="A321" s="14" t="s">
        <v>341</v>
      </c>
      <c r="B321" s="52">
        <v>20807.1491842271</v>
      </c>
      <c r="C321" s="52">
        <v>20287.99068093</v>
      </c>
      <c r="E321" s="52"/>
    </row>
    <row r="322" ht="13.5" customHeight="1">
      <c r="A322" s="14" t="s">
        <v>342</v>
      </c>
      <c r="B322" s="52">
        <v>20837.5338891035</v>
      </c>
      <c r="C322" s="52">
        <v>20282.3171996111</v>
      </c>
      <c r="E322" s="52"/>
    </row>
    <row r="323" ht="13.5" customHeight="1">
      <c r="A323" s="14" t="s">
        <v>343</v>
      </c>
      <c r="B323" s="52">
        <v>20892.1889505058</v>
      </c>
      <c r="C323" s="52">
        <v>20285.4645053298</v>
      </c>
      <c r="E323" s="52"/>
    </row>
    <row r="324" ht="13.5" customHeight="1">
      <c r="A324" s="14" t="s">
        <v>344</v>
      </c>
      <c r="B324" s="52">
        <v>20912.2927280487</v>
      </c>
      <c r="C324" s="52">
        <v>20302.3991828457</v>
      </c>
      <c r="E324" s="52"/>
    </row>
    <row r="325" ht="13.5" customHeight="1">
      <c r="A325" s="14" t="s">
        <v>345</v>
      </c>
      <c r="B325" s="52">
        <v>20949.1193214622</v>
      </c>
      <c r="C325" s="52">
        <v>20326.7671310159</v>
      </c>
      <c r="E325" s="52"/>
    </row>
    <row r="326" ht="13.5" customHeight="1">
      <c r="A326" s="14" t="s">
        <v>346</v>
      </c>
      <c r="B326" s="52">
        <v>21084.5853218314</v>
      </c>
      <c r="C326" s="52">
        <v>20439.8964543163</v>
      </c>
      <c r="E326" s="52"/>
    </row>
    <row r="327" ht="13.5" customHeight="1">
      <c r="A327" s="14" t="s">
        <v>347</v>
      </c>
      <c r="B327" s="52">
        <v>21082.2832186947</v>
      </c>
      <c r="C327" s="52">
        <v>20397.2788747244</v>
      </c>
      <c r="E327" s="52"/>
    </row>
    <row r="328" ht="13.5" customHeight="1">
      <c r="A328" s="14" t="s">
        <v>348</v>
      </c>
      <c r="B328" s="52">
        <v>21167.9314594532</v>
      </c>
      <c r="C328" s="52">
        <v>20457.7701908785</v>
      </c>
      <c r="E328" s="52"/>
    </row>
    <row r="329" ht="13.5" customHeight="1">
      <c r="A329" s="14" t="s">
        <v>349</v>
      </c>
      <c r="B329" s="52">
        <v>21311.3433850276</v>
      </c>
      <c r="C329" s="52">
        <v>20529.7511289295</v>
      </c>
      <c r="E329" s="52"/>
    </row>
    <row r="330" ht="13.5" customHeight="1">
      <c r="A330" s="14" t="s">
        <v>350</v>
      </c>
      <c r="B330" s="52">
        <v>21367.6090850626</v>
      </c>
      <c r="C330" s="52">
        <v>20572.8918693265</v>
      </c>
      <c r="E330" s="52"/>
    </row>
    <row r="331" ht="13.5" customHeight="1">
      <c r="A331" s="14" t="s">
        <v>351</v>
      </c>
      <c r="B331" s="52">
        <v>21514.8615299425</v>
      </c>
      <c r="C331" s="52">
        <v>20704.2154045261</v>
      </c>
      <c r="E331" s="52"/>
    </row>
    <row r="332" ht="13.5" customHeight="1">
      <c r="A332" s="14" t="s">
        <v>352</v>
      </c>
      <c r="B332" s="52">
        <v>21674.9246083105</v>
      </c>
      <c r="C332" s="52">
        <v>20808.1309204772</v>
      </c>
      <c r="E332" s="52"/>
    </row>
    <row r="333" ht="13.5" customHeight="1">
      <c r="A333" s="14" t="s">
        <v>353</v>
      </c>
      <c r="B333" s="52">
        <v>21713.2581678525</v>
      </c>
      <c r="C333" s="52">
        <v>20841.7185030795</v>
      </c>
      <c r="E333" s="52"/>
    </row>
    <row r="334" ht="13.5" customHeight="1">
      <c r="A334" s="14" t="s">
        <v>354</v>
      </c>
      <c r="B334" s="52">
        <v>21763.3302238737</v>
      </c>
      <c r="C334" s="52">
        <v>20880.120984307</v>
      </c>
      <c r="E334" s="52"/>
    </row>
    <row r="335" ht="13.5" customHeight="1">
      <c r="A335" s="14" t="s">
        <v>355</v>
      </c>
      <c r="B335" s="52">
        <v>21808.6836693673</v>
      </c>
      <c r="C335" s="52">
        <v>20901.1250239726</v>
      </c>
      <c r="E335" s="52"/>
    </row>
    <row r="336" ht="13.5" customHeight="1">
      <c r="A336" s="14" t="s">
        <v>356</v>
      </c>
      <c r="B336" s="52">
        <v>21973.8627362536</v>
      </c>
      <c r="C336" s="52">
        <v>21031.6944796962</v>
      </c>
      <c r="E336" s="52"/>
    </row>
    <row r="337" ht="13.5" customHeight="1">
      <c r="A337" s="14" t="s">
        <v>357</v>
      </c>
      <c r="B337" s="52">
        <v>22017.104594335</v>
      </c>
      <c r="C337" s="52">
        <v>21023.7088038601</v>
      </c>
      <c r="E337" s="52"/>
    </row>
    <row r="338" ht="13.5" customHeight="1">
      <c r="A338" s="14" t="s">
        <v>358</v>
      </c>
      <c r="B338" s="52">
        <v>22042.2745550837</v>
      </c>
      <c r="C338" s="52">
        <v>20997.5135923241</v>
      </c>
      <c r="E338" s="52"/>
    </row>
    <row r="339" ht="13.5" customHeight="1">
      <c r="A339" s="14" t="s">
        <v>359</v>
      </c>
      <c r="B339" s="52">
        <v>22124.7777958504</v>
      </c>
      <c r="C339" s="52">
        <v>21065.8122191462</v>
      </c>
      <c r="E339" s="52"/>
    </row>
    <row r="340" ht="13.5" customHeight="1">
      <c r="A340" s="14" t="s">
        <v>360</v>
      </c>
      <c r="B340" s="52">
        <v>21015.9186490678</v>
      </c>
      <c r="C340" s="52">
        <v>20017.1534435142</v>
      </c>
    </row>
    <row r="341" ht="13.5" customHeight="1">
      <c r="A341" s="14" t="s">
        <v>361</v>
      </c>
      <c r="B341" s="52">
        <v>18995.9806787324</v>
      </c>
      <c r="C341" s="52">
        <v>18205.4597337138</v>
      </c>
    </row>
    <row r="342" ht="13.5" customHeight="1">
      <c r="A342" s="14" t="s">
        <v>362</v>
      </c>
      <c r="B342" s="52">
        <v>19821.2104545503</v>
      </c>
      <c r="C342" s="52">
        <v>18963.8239872731</v>
      </c>
    </row>
    <row r="343" ht="13.5" customHeight="1">
      <c r="A343" s="14" t="s">
        <v>363</v>
      </c>
      <c r="B343" s="52">
        <v>20989.1408666545</v>
      </c>
      <c r="C343" s="52">
        <v>20003.1277441343</v>
      </c>
      <c r="E343" s="52"/>
    </row>
    <row r="344" ht="13.5" customHeight="1">
      <c r="A344" s="14" t="s">
        <v>364</v>
      </c>
      <c r="B344" s="52">
        <v>21434.7677794394</v>
      </c>
      <c r="C344" s="52">
        <v>20343.4377424146</v>
      </c>
      <c r="E344" s="52"/>
    </row>
    <row r="345" ht="13.5" customHeight="1">
      <c r="A345" s="14" t="s">
        <v>365</v>
      </c>
      <c r="B345" s="52">
        <v>21676.5768851065</v>
      </c>
      <c r="C345" s="52">
        <v>20546.9055750992</v>
      </c>
      <c r="E345" s="52"/>
    </row>
    <row r="346" ht="13.5" customHeight="1">
      <c r="A346" s="14" t="s">
        <v>366</v>
      </c>
      <c r="B346" s="52">
        <v>21942.3083354225</v>
      </c>
      <c r="C346" s="52">
        <v>20760.2570494582</v>
      </c>
      <c r="E346" s="52"/>
    </row>
    <row r="347" ht="13.5" customHeight="1">
      <c r="A347" s="14" t="s">
        <v>367</v>
      </c>
      <c r="B347" s="52">
        <v>22099.5913822349</v>
      </c>
      <c r="C347" s="52">
        <v>20877.3650358905</v>
      </c>
      <c r="E347" s="52"/>
    </row>
    <row r="348" ht="13.5" customHeight="1">
      <c r="A348" s="14" t="s">
        <v>368</v>
      </c>
      <c r="B348" s="52">
        <v>21940.300999021</v>
      </c>
      <c r="C348" s="52">
        <v>20662.3838775707</v>
      </c>
      <c r="E348" s="52"/>
    </row>
    <row r="349" ht="13.5" customHeight="1">
      <c r="A349" s="14" t="s">
        <v>369</v>
      </c>
      <c r="B349" s="52">
        <v>22166.408618732</v>
      </c>
      <c r="C349" s="52">
        <v>20779.7429416445</v>
      </c>
      <c r="E349" s="52"/>
    </row>
    <row r="350" ht="13.5" customHeight="1">
      <c r="A350" s="14" t="s">
        <v>370</v>
      </c>
      <c r="B350" s="52">
        <v>22605.487700739</v>
      </c>
      <c r="C350" s="52">
        <v>21103.5536883824</v>
      </c>
      <c r="E350" s="52"/>
    </row>
    <row r="351" ht="13.5" customHeight="1">
      <c r="A351" s="14" t="s">
        <v>371</v>
      </c>
      <c r="B351" s="52">
        <v>22372.5110893179</v>
      </c>
      <c r="C351" s="52">
        <v>20796.9961532809</v>
      </c>
      <c r="E351" s="52"/>
    </row>
    <row r="352" ht="13.5" customHeight="1">
      <c r="A352" s="14" t="s">
        <v>372</v>
      </c>
      <c r="B352" s="52">
        <v>22992.3802099183</v>
      </c>
      <c r="C352" s="52">
        <v>21279.4185278791</v>
      </c>
      <c r="E352" s="52"/>
    </row>
    <row r="353" ht="13.5" customHeight="1">
      <c r="A353" s="14" t="s">
        <v>373</v>
      </c>
      <c r="B353" s="52">
        <v>23238.8598175834</v>
      </c>
      <c r="C353" s="52">
        <v>21392.0505931587</v>
      </c>
      <c r="E353" s="52"/>
    </row>
    <row r="354" ht="13.5" customHeight="1">
      <c r="A354" s="14" t="s">
        <v>374</v>
      </c>
      <c r="B354" s="52">
        <v>23348.4492491934</v>
      </c>
      <c r="C354" s="52">
        <v>21372.92437917</v>
      </c>
      <c r="E354" s="52"/>
    </row>
    <row r="355" ht="13.5" customHeight="1">
      <c r="A355" s="14" t="s">
        <v>375</v>
      </c>
      <c r="B355" s="52">
        <v>23519.2739332364</v>
      </c>
      <c r="C355" s="52">
        <v>21406.6097565736</v>
      </c>
      <c r="E355" s="52"/>
    </row>
    <row r="356" ht="13.5" customHeight="1">
      <c r="A356" s="14" t="s">
        <v>376</v>
      </c>
      <c r="B356" s="52">
        <v>23773.0972649859</v>
      </c>
      <c r="C356" s="52">
        <v>21534.5294034246</v>
      </c>
      <c r="E356" s="52"/>
    </row>
    <row r="357" ht="13.5" customHeight="1">
      <c r="A357" s="14" t="s">
        <v>377</v>
      </c>
      <c r="B357" s="52">
        <v>23914.2560201301</v>
      </c>
      <c r="C357" s="52">
        <v>21554.1887411006</v>
      </c>
      <c r="E357" s="52"/>
    </row>
    <row r="358" ht="13.5" customHeight="1">
      <c r="A358" s="14" t="s">
        <v>378</v>
      </c>
      <c r="B358" s="52">
        <v>24078.6197148823</v>
      </c>
      <c r="C358" s="52">
        <v>21630.1238478365</v>
      </c>
      <c r="E358" s="52"/>
    </row>
    <row r="359" ht="13.5" customHeight="1">
      <c r="A359" s="14" t="s">
        <v>379</v>
      </c>
      <c r="B359" s="52">
        <v>24574.855743924</v>
      </c>
      <c r="C359" s="52">
        <v>21910.7901749118</v>
      </c>
      <c r="E359" s="52"/>
    </row>
    <row r="360" ht="13.5" customHeight="1">
      <c r="A360" s="14" t="s">
        <v>380</v>
      </c>
      <c r="B360" s="52">
        <v>24708.4071004958</v>
      </c>
      <c r="C360" s="52">
        <v>21889.4435991952</v>
      </c>
      <c r="E360" s="52"/>
    </row>
    <row r="361" ht="13.5" customHeight="1">
      <c r="A361" s="14" t="s">
        <v>381</v>
      </c>
      <c r="B361" s="52">
        <v>25047.8511555427</v>
      </c>
      <c r="C361" s="52">
        <v>22085.6743313952</v>
      </c>
      <c r="E361" s="52"/>
    </row>
    <row r="362" ht="13.5" customHeight="1">
      <c r="A362" s="14" t="s">
        <v>382</v>
      </c>
      <c r="B362" s="52">
        <v>25028.4706279257</v>
      </c>
      <c r="C362" s="52">
        <v>21919.3662937126</v>
      </c>
      <c r="E362" s="52"/>
    </row>
    <row r="363" ht="13.5" customHeight="1">
      <c r="A363" s="14" t="s">
        <v>383</v>
      </c>
      <c r="B363" s="52">
        <v>25167.0538987472</v>
      </c>
      <c r="C363" s="52">
        <v>21878.7501891592</v>
      </c>
      <c r="E363" s="52"/>
    </row>
    <row r="364" ht="13.5" customHeight="1">
      <c r="A364" s="14" t="s">
        <v>384</v>
      </c>
      <c r="B364" s="52">
        <v>25450.9484732733</v>
      </c>
      <c r="C364" s="52">
        <v>21918.1326198414</v>
      </c>
      <c r="E364" s="52"/>
    </row>
    <row r="365" ht="13.5" customHeight="1">
      <c r="A365" s="14" t="s">
        <v>385</v>
      </c>
      <c r="B365" s="52">
        <v>25593.1232448338</v>
      </c>
      <c r="C365" s="52">
        <v>21942.3013319967</v>
      </c>
      <c r="E365" s="52"/>
    </row>
    <row r="366" ht="13.5" customHeight="1">
      <c r="A366" s="14" t="s">
        <v>386</v>
      </c>
      <c r="B366" s="52">
        <v>25820.5787991967</v>
      </c>
      <c r="C366" s="52">
        <v>21936.1307874341</v>
      </c>
      <c r="E366" s="52"/>
    </row>
    <row r="367" ht="13.5" customHeight="1">
      <c r="A367" s="14" t="s">
        <v>387</v>
      </c>
      <c r="B367" s="52">
        <v>26003.670955996</v>
      </c>
      <c r="C367" s="52">
        <v>21883.9798526739</v>
      </c>
    </row>
    <row r="368" ht="13.5" customHeight="1">
      <c r="A368" s="14" t="s">
        <v>388</v>
      </c>
      <c r="B368" s="52">
        <v>26068.8996717367</v>
      </c>
      <c r="C368" s="52">
        <v>21953.1547688373</v>
      </c>
    </row>
    <row r="369" ht="13.5" customHeight="1">
      <c r="A369" s="14" t="s">
        <v>389</v>
      </c>
      <c r="B369" s="52">
        <v>26398.3451640054</v>
      </c>
      <c r="C369" s="52">
        <v>22185.7607621662</v>
      </c>
    </row>
    <row r="370" ht="13.5" customHeight="1">
      <c r="A370" s="14" t="s">
        <v>390</v>
      </c>
      <c r="B370" s="52">
        <v>26348.7881642032</v>
      </c>
      <c r="C370" s="52">
        <v>22066.3514373571</v>
      </c>
    </row>
    <row r="371" ht="13.5" customHeight="1">
      <c r="A371" s="14" t="s">
        <v>391</v>
      </c>
      <c r="B371" s="52">
        <v>26667.8005632613</v>
      </c>
      <c r="C371" s="52">
        <v>22231.9553531816</v>
      </c>
    </row>
    <row r="372" ht="13.5" customHeight="1">
      <c r="A372" s="14" t="s">
        <v>392</v>
      </c>
      <c r="B372" s="52">
        <v>26786.231295038</v>
      </c>
      <c r="C372" s="52">
        <v>22262.0376892802</v>
      </c>
    </row>
    <row r="373" ht="13.5" customHeight="1">
      <c r="A373" s="14" t="s">
        <v>393</v>
      </c>
      <c r="B373" s="52">
        <v>26748.7991417377</v>
      </c>
      <c r="C373" s="52">
        <v>22259.166217846</v>
      </c>
    </row>
    <row r="374" ht="13.5" customHeight="1">
      <c r="A374" s="14" t="s">
        <v>394</v>
      </c>
      <c r="B374" s="52">
        <v>27088.1335261957</v>
      </c>
      <c r="C374" s="52">
        <v>22415.6149328975</v>
      </c>
    </row>
    <row r="375" ht="13.5" customHeight="1">
      <c r="A375" s="14" t="s">
        <v>395</v>
      </c>
      <c r="B375" s="52">
        <v>27124.1587431675</v>
      </c>
      <c r="C375" s="52">
        <v>22354.8427100681</v>
      </c>
    </row>
    <row r="376" ht="13.5" customHeight="1">
      <c r="A376" s="14" t="s">
        <v>396</v>
      </c>
      <c r="B376" s="52">
        <v>27280.7847307204</v>
      </c>
      <c r="C376" s="52">
        <v>22444.5690902094</v>
      </c>
    </row>
    <row r="377" ht="13.5" customHeight="1">
      <c r="A377" s="14" t="s">
        <v>397</v>
      </c>
      <c r="B377" s="52">
        <v>27323.7179487269</v>
      </c>
      <c r="C377" s="52">
        <v>22439.6234740515</v>
      </c>
    </row>
    <row r="378" ht="13.5" customHeight="1">
      <c r="A378" s="14" t="s">
        <v>398</v>
      </c>
      <c r="B378" s="52">
        <v>27462.6328881903</v>
      </c>
      <c r="C378" s="52">
        <v>22571.2926543769</v>
      </c>
    </row>
    <row r="379" ht="13.5" customHeight="1">
      <c r="A379" s="14" t="s">
        <v>399</v>
      </c>
      <c r="B379" s="52">
        <v>27575.0941630493</v>
      </c>
      <c r="C379" s="52">
        <v>22612.2899543076</v>
      </c>
    </row>
    <row r="380" ht="13.5" customHeight="1">
      <c r="A380" s="14" t="s">
        <v>400</v>
      </c>
      <c r="B380" s="52">
        <v>27740.2288577798</v>
      </c>
      <c r="C380" s="52">
        <v>22692.3469314009</v>
      </c>
    </row>
    <row r="381" ht="13.5" customHeight="1">
      <c r="A381" s="14" t="s">
        <v>401</v>
      </c>
      <c r="B381" s="52">
        <v>28025.007793623</v>
      </c>
      <c r="C381" s="52">
        <v>22827.169463164</v>
      </c>
    </row>
    <row r="382" ht="13.5" customHeight="1">
      <c r="A382" s="14" t="s">
        <v>402</v>
      </c>
      <c r="B382" s="52">
        <v>28137.8543486649</v>
      </c>
      <c r="C382" s="52">
        <v>22828.2084270787</v>
      </c>
    </row>
    <row r="383" ht="13.5" customHeight="1">
      <c r="A383" s="14" t="s">
        <v>403</v>
      </c>
      <c r="B383" s="52">
        <v>28094.0373733341</v>
      </c>
      <c r="C383" s="52">
        <v>22801.215132223</v>
      </c>
    </row>
    <row r="384" ht="13.5" customHeight="1">
      <c r="A384" s="14" t="s">
        <v>404</v>
      </c>
      <c r="B384" s="52">
        <v>28237.1803544305</v>
      </c>
      <c r="C384" s="52">
        <v>22925.2487009444</v>
      </c>
    </row>
    <row r="385" ht="13.5" customHeight="1">
      <c r="A385" s="14" t="s">
        <v>405</v>
      </c>
      <c r="B385" s="52">
        <v>28559.6832721773</v>
      </c>
      <c r="C385" s="52">
        <v>23160.0582046388</v>
      </c>
    </row>
    <row r="386" ht="13.5" customHeight="1">
      <c r="A386" s="14" t="s">
        <v>406</v>
      </c>
      <c r="B386" s="52">
        <v>28403.3776425317</v>
      </c>
      <c r="C386" s="52">
        <v>22957.4227084468</v>
      </c>
    </row>
    <row r="387" ht="13.5" customHeight="1">
      <c r="A387" s="14" t="str">
        <f t="shared" ref="A387:A391" si="1">1+LEFT(A375,4)&amp;RIGHT(A375,LEN(A375)-4)</f>
        <v>2024 - Feb</v>
      </c>
      <c r="B387" s="52">
        <v>28692.4764587158</v>
      </c>
      <c r="C387" s="52">
        <v>23107.4330723035</v>
      </c>
    </row>
    <row r="388" ht="13.5" customHeight="1">
      <c r="A388" s="14" t="str">
        <f t="shared" si="1"/>
        <v>2024 - Mar</v>
      </c>
      <c r="B388" s="52">
        <v>28776.3528988227</v>
      </c>
      <c r="C388" s="52">
        <v>23100.5494213</v>
      </c>
    </row>
    <row r="389" ht="13.5" customHeight="1">
      <c r="A389" s="14" t="str">
        <f t="shared" si="1"/>
        <v>2024 - Apr</v>
      </c>
      <c r="B389" s="52">
        <v>28927.73038092493</v>
      </c>
      <c r="C389" s="52">
        <v>23165.93426737338</v>
      </c>
    </row>
    <row r="390" ht="13.5" customHeight="1">
      <c r="A390" s="14" t="str">
        <f t="shared" si="1"/>
        <v>2024 - May</v>
      </c>
      <c r="B390" s="52">
        <v>29033.1240188718</v>
      </c>
      <c r="C390" s="52">
        <v>23248.626350368733</v>
      </c>
    </row>
    <row r="391" ht="13.5" customHeight="1">
      <c r="A391" s="14" t="str">
        <f t="shared" si="1"/>
        <v>2024 - June</v>
      </c>
      <c r="B391" s="52">
        <v>29089.23080154144</v>
      </c>
      <c r="C391" s="52">
        <v>23261.86138209993</v>
      </c>
    </row>
    <row r="392" ht="13.5" customHeight="1">
      <c r="A392" s="14" t="s">
        <v>407</v>
      </c>
      <c r="B392" s="52">
        <v>29311.781049679164</v>
      </c>
      <c r="C392" s="52">
        <v>23385.227069701825</v>
      </c>
    </row>
    <row r="393" ht="13.5" customHeight="1">
      <c r="A393" s="14" t="s">
        <v>408</v>
      </c>
      <c r="B393" s="52">
        <v>29387.21724015269</v>
      </c>
      <c r="C393" s="52">
        <v>23427.12972724008</v>
      </c>
    </row>
    <row r="394" ht="13.5" customHeight="1">
      <c r="A394" s="14" t="s">
        <v>409</v>
      </c>
      <c r="B394" s="52">
        <v>29343.8976610743</v>
      </c>
      <c r="C394" s="52">
        <v>23357.707758799592</v>
      </c>
    </row>
    <row r="395" ht="13.5" customHeight="1">
      <c r="A395" s="14"/>
      <c r="B395" s="52"/>
      <c r="C395" s="52"/>
    </row>
    <row r="396" ht="13.5" customHeight="1">
      <c r="A396" s="14"/>
      <c r="B396" s="52"/>
      <c r="C396" s="52"/>
    </row>
    <row r="397" ht="13.5" customHeight="1">
      <c r="A397" s="14"/>
      <c r="B397" s="52"/>
      <c r="C397" s="52"/>
    </row>
    <row r="398" ht="13.5" customHeight="1">
      <c r="A398" s="14"/>
      <c r="B398" s="52"/>
      <c r="C398" s="52"/>
    </row>
    <row r="399" ht="13.5" customHeight="1">
      <c r="A399" s="14"/>
      <c r="B399" s="52"/>
      <c r="C399" s="52"/>
    </row>
    <row r="400" ht="13.5" customHeight="1">
      <c r="A400" s="14"/>
      <c r="B400" s="52"/>
      <c r="C400" s="52"/>
    </row>
    <row r="401" ht="13.5" customHeight="1">
      <c r="A401" s="14"/>
      <c r="B401" s="52"/>
      <c r="C401" s="52"/>
    </row>
    <row r="402" ht="13.5" customHeight="1">
      <c r="A402" s="14"/>
      <c r="B402" s="52"/>
      <c r="C402" s="52"/>
    </row>
    <row r="403" ht="13.5" customHeight="1">
      <c r="A403" s="14"/>
      <c r="B403" s="52"/>
      <c r="C403" s="52"/>
    </row>
    <row r="404" ht="13.5" customHeight="1">
      <c r="A404" s="14"/>
      <c r="B404" s="52"/>
      <c r="C404" s="52"/>
    </row>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2015-02-11T19:50:33Z</dcterms:created>
  <dc:creator>K. Navin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0x0101000BD22627D9DA294F9A71C708A0200693</vt:lpwstr>
  </property>
  <property fmtid="{D5CDD505-2E9C-101B-9397-08002B2CF9AE}" pid="3" name="Order">
    <vt:r8>100.0</vt:r8>
  </property>
  <property fmtid="{D5CDD505-2E9C-101B-9397-08002B2CF9AE}" pid="4" name="_ExtendedDescription">
    <vt:lpwstr/>
  </property>
  <property fmtid="{D5CDD505-2E9C-101B-9397-08002B2CF9AE}" pid="5" name="MediaServiceImageTags">
    <vt:lpwstr/>
  </property>
  <property fmtid="{D5CDD505-2E9C-101B-9397-08002B2CF9AE}" pid="6" name="MSIP_Label_1e4321fe-1db3-4305-a2cc-aad91140672d_Enabled">
    <vt:lpwstr>true</vt:lpwstr>
  </property>
  <property fmtid="{D5CDD505-2E9C-101B-9397-08002B2CF9AE}" pid="7" name="MSIP_Label_1e4321fe-1db3-4305-a2cc-aad91140672d_SetDate">
    <vt:lpwstr>2024-06-03T20:22:08Z</vt:lpwstr>
  </property>
  <property fmtid="{D5CDD505-2E9C-101B-9397-08002B2CF9AE}" pid="8" name="MSIP_Label_1e4321fe-1db3-4305-a2cc-aad91140672d_Method">
    <vt:lpwstr>Privileged</vt:lpwstr>
  </property>
  <property fmtid="{D5CDD505-2E9C-101B-9397-08002B2CF9AE}" pid="9" name="MSIP_Label_1e4321fe-1db3-4305-a2cc-aad91140672d_Name">
    <vt:lpwstr>External</vt:lpwstr>
  </property>
  <property fmtid="{D5CDD505-2E9C-101B-9397-08002B2CF9AE}" pid="10" name="MSIP_Label_1e4321fe-1db3-4305-a2cc-aad91140672d_SiteId">
    <vt:lpwstr>8f3e36ea-8039-4b40-81a7-7dc0599e8645</vt:lpwstr>
  </property>
  <property fmtid="{D5CDD505-2E9C-101B-9397-08002B2CF9AE}" pid="11" name="MSIP_Label_1e4321fe-1db3-4305-a2cc-aad91140672d_ActionId">
    <vt:lpwstr>d74adbf4-0c4b-4d4c-b06a-3c320cdbddd4</vt:lpwstr>
  </property>
  <property fmtid="{D5CDD505-2E9C-101B-9397-08002B2CF9AE}" pid="12" name="MSIP_Label_1e4321fe-1db3-4305-a2cc-aad91140672d_ContentBits">
    <vt:lpwstr>0</vt:lpwstr>
  </property>
</Properties>
</file>